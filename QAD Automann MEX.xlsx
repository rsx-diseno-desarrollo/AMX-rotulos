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assiniauto-my.sharepoint.com/personal/rsxdiseno_rassini_com/Documents/Documentos/"/>
    </mc:Choice>
  </mc:AlternateContent>
  <xr:revisionPtr revIDLastSave="349" documentId="8_{6A70F54F-92D2-40F9-9466-CECFED413C99}" xr6:coauthVersionLast="47" xr6:coauthVersionMax="47" xr10:uidLastSave="{5CA1F60E-803C-44BC-9A6E-A5ADDC9B33DA}"/>
  <bookViews>
    <workbookView xWindow="-120" yWindow="-120" windowWidth="29040" windowHeight="15720" activeTab="2" xr2:uid="{DD61C216-6284-4FB1-BF3E-9583C25CE992}"/>
  </bookViews>
  <sheets>
    <sheet name="Master" sheetId="5" r:id="rId1"/>
    <sheet name="Hoja1" sheetId="18" r:id="rId2"/>
    <sheet name="Ayuda visual Rotulos" sheetId="20" r:id="rId3"/>
    <sheet name="Activar" sheetId="19" r:id="rId4"/>
  </sheets>
  <definedNames>
    <definedName name="_xlnm._FilterDatabase" localSheetId="2" hidden="1">'Ayuda visual Rotulos'!$A$6:$D$234</definedName>
    <definedName name="_xlnm._FilterDatabase" localSheetId="1" hidden="1">Hoja1!$A$1:$D$1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9" i="18" l="1"/>
  <c r="B159" i="18"/>
  <c r="B116" i="18"/>
  <c r="B106" i="18"/>
  <c r="B102" i="18"/>
  <c r="B101" i="18"/>
  <c r="B97" i="18"/>
  <c r="B95" i="18"/>
  <c r="B91" i="18"/>
  <c r="B89" i="18"/>
  <c r="B87" i="18"/>
  <c r="B85" i="18"/>
  <c r="B84" i="18"/>
  <c r="B83" i="18"/>
  <c r="B81" i="18"/>
  <c r="B79" i="18"/>
  <c r="B77" i="18"/>
  <c r="B75" i="18"/>
  <c r="B73" i="18"/>
  <c r="B72" i="18"/>
  <c r="B71" i="18"/>
  <c r="B70" i="18"/>
  <c r="B68" i="18"/>
  <c r="B67" i="18"/>
  <c r="B66" i="18"/>
  <c r="B63" i="18"/>
  <c r="B61" i="18"/>
  <c r="B60" i="18"/>
  <c r="B58" i="18"/>
  <c r="B56" i="18"/>
  <c r="B54" i="18"/>
  <c r="B53" i="18"/>
  <c r="B50" i="18"/>
  <c r="B49" i="18"/>
  <c r="B47" i="18"/>
  <c r="B45" i="18"/>
  <c r="B44" i="18"/>
  <c r="B43" i="18"/>
  <c r="B42" i="18"/>
  <c r="B41" i="18"/>
  <c r="B36" i="18"/>
  <c r="B35" i="18"/>
  <c r="B33" i="18"/>
  <c r="B31" i="18"/>
  <c r="B29" i="18"/>
  <c r="B28" i="18"/>
  <c r="B27" i="18"/>
  <c r="B23" i="18"/>
  <c r="B22" i="18"/>
  <c r="B21" i="18"/>
  <c r="B20" i="18"/>
  <c r="B18" i="18"/>
  <c r="B16" i="18"/>
  <c r="B14" i="18"/>
  <c r="B228" i="18"/>
  <c r="B227" i="18"/>
  <c r="B226" i="18"/>
  <c r="B225" i="18"/>
  <c r="B224" i="18"/>
  <c r="B223" i="18"/>
  <c r="B222" i="18"/>
  <c r="B221" i="18"/>
  <c r="B220" i="18"/>
  <c r="B219" i="18"/>
  <c r="B218" i="18"/>
  <c r="B217" i="18"/>
  <c r="B216" i="18"/>
  <c r="B215" i="18"/>
  <c r="B214" i="18"/>
  <c r="B213" i="18"/>
  <c r="B212" i="18"/>
  <c r="B211" i="18"/>
  <c r="B210" i="18"/>
  <c r="B209" i="18"/>
  <c r="B208" i="18"/>
  <c r="B207" i="18"/>
  <c r="B206" i="18"/>
  <c r="B205" i="18"/>
  <c r="B204" i="18"/>
  <c r="B203" i="18"/>
  <c r="B202" i="18"/>
  <c r="B201" i="18"/>
  <c r="B200" i="18"/>
  <c r="B199" i="18"/>
  <c r="B198" i="18"/>
  <c r="B197" i="18"/>
  <c r="B196" i="18"/>
  <c r="B195" i="18"/>
  <c r="B194" i="18"/>
  <c r="B193" i="18"/>
  <c r="B192" i="18"/>
  <c r="B191" i="18"/>
  <c r="B190" i="18"/>
  <c r="B189" i="18"/>
  <c r="B188" i="18"/>
  <c r="B187" i="18"/>
  <c r="B186" i="18"/>
  <c r="B185" i="18"/>
  <c r="B184" i="18"/>
  <c r="B183" i="18"/>
  <c r="B182" i="18"/>
  <c r="B181" i="18"/>
  <c r="B180" i="18"/>
  <c r="B179" i="18"/>
  <c r="B178" i="18"/>
  <c r="B177" i="18"/>
  <c r="B176" i="18"/>
  <c r="B175" i="18"/>
  <c r="B174" i="18"/>
  <c r="B173" i="18"/>
  <c r="B172" i="18"/>
  <c r="B171" i="18"/>
  <c r="B170" i="18"/>
  <c r="B169" i="18"/>
  <c r="B168" i="18"/>
  <c r="B167" i="18"/>
  <c r="B166" i="18"/>
  <c r="B165" i="18"/>
  <c r="B164" i="18"/>
  <c r="B163" i="18"/>
  <c r="B162" i="18"/>
  <c r="B161" i="18"/>
  <c r="B160" i="18"/>
  <c r="B158" i="18"/>
  <c r="B157" i="18"/>
  <c r="B156" i="18"/>
  <c r="B155" i="18"/>
  <c r="B154" i="18"/>
  <c r="B153" i="18"/>
  <c r="B152" i="18"/>
  <c r="B151" i="18"/>
  <c r="B150" i="18"/>
  <c r="B149" i="18"/>
  <c r="B148" i="18"/>
  <c r="B147" i="18"/>
  <c r="B146" i="18"/>
  <c r="B145" i="18"/>
  <c r="B144" i="18"/>
  <c r="B143" i="18"/>
  <c r="B142" i="18"/>
  <c r="B141" i="18"/>
  <c r="B140" i="18"/>
  <c r="B139" i="18"/>
  <c r="B138" i="18"/>
  <c r="B137" i="18"/>
  <c r="B136" i="18"/>
  <c r="B135" i="18"/>
  <c r="B134" i="18"/>
  <c r="B133" i="18"/>
  <c r="B132" i="18"/>
  <c r="B131" i="18"/>
  <c r="B130" i="18"/>
  <c r="B129" i="18"/>
  <c r="B128" i="18"/>
  <c r="B127" i="18"/>
  <c r="B126" i="18"/>
  <c r="B125" i="18"/>
  <c r="B124" i="18"/>
  <c r="B123" i="18"/>
  <c r="B122" i="18"/>
  <c r="B121" i="18"/>
  <c r="B120" i="18"/>
  <c r="B119" i="18"/>
  <c r="B118" i="18"/>
  <c r="B117" i="18"/>
  <c r="B115" i="18"/>
  <c r="B114" i="18"/>
  <c r="B113" i="18"/>
  <c r="B112" i="18"/>
  <c r="B111" i="18"/>
  <c r="B110" i="18"/>
  <c r="B109" i="18"/>
  <c r="B108" i="18"/>
  <c r="B107" i="18"/>
  <c r="B105" i="18"/>
  <c r="B104" i="18"/>
  <c r="B103" i="18"/>
  <c r="B100" i="18"/>
  <c r="B99" i="18"/>
  <c r="B98" i="18"/>
  <c r="B96" i="18"/>
  <c r="B94" i="18"/>
  <c r="B93" i="18"/>
  <c r="B92" i="18"/>
  <c r="B90" i="18"/>
  <c r="B88" i="18"/>
  <c r="B86" i="18"/>
  <c r="B82" i="18"/>
  <c r="B80" i="18"/>
  <c r="B78" i="18"/>
  <c r="B76" i="18"/>
  <c r="B74" i="18"/>
  <c r="B69" i="18"/>
  <c r="B65" i="18"/>
  <c r="B64" i="18"/>
  <c r="B62" i="18"/>
  <c r="B59" i="18"/>
  <c r="B57" i="18"/>
  <c r="B55" i="18"/>
  <c r="B52" i="18"/>
  <c r="B51" i="18"/>
  <c r="B48" i="18"/>
  <c r="B46" i="18"/>
  <c r="B40" i="18"/>
  <c r="B39" i="18"/>
  <c r="B38" i="18"/>
  <c r="B37" i="18"/>
  <c r="B34" i="18"/>
  <c r="B32" i="18"/>
  <c r="B30" i="18"/>
  <c r="B26" i="18"/>
  <c r="B25" i="18"/>
  <c r="B24" i="18"/>
  <c r="B19" i="18"/>
  <c r="B17" i="18"/>
  <c r="B15" i="18"/>
  <c r="B13" i="18"/>
  <c r="B12" i="18"/>
  <c r="B11" i="18"/>
  <c r="B10" i="18"/>
  <c r="B9" i="18"/>
  <c r="B8" i="18"/>
  <c r="B7" i="18"/>
  <c r="B6" i="18"/>
  <c r="B5" i="18"/>
  <c r="B4" i="18"/>
  <c r="B3" i="18"/>
  <c r="B2" i="18"/>
  <c r="B2" i="5"/>
  <c r="D65" i="5"/>
  <c r="D64" i="5"/>
  <c r="H44" i="5" s="1"/>
  <c r="C64" i="5"/>
  <c r="C63" i="5"/>
  <c r="H43" i="5" s="1"/>
  <c r="E64" i="5"/>
  <c r="D63" i="5"/>
  <c r="D62" i="5"/>
  <c r="D61" i="5"/>
  <c r="H42" i="5" s="1"/>
  <c r="C61" i="5"/>
  <c r="C60" i="5"/>
  <c r="H41" i="5" s="1"/>
  <c r="E61" i="5"/>
  <c r="D60" i="5"/>
  <c r="D58" i="5"/>
  <c r="H40" i="5" s="1"/>
  <c r="D59" i="5"/>
  <c r="C58" i="5"/>
  <c r="C57" i="5"/>
  <c r="H39" i="5" s="1"/>
  <c r="E58" i="5"/>
  <c r="D57" i="5"/>
  <c r="D56" i="5"/>
  <c r="C55" i="5"/>
  <c r="D55" i="5"/>
  <c r="H38" i="5" s="1"/>
  <c r="C54" i="5"/>
  <c r="H37" i="5" s="1"/>
  <c r="E55" i="5"/>
  <c r="D54" i="5"/>
  <c r="D53" i="5"/>
  <c r="C52" i="5"/>
  <c r="D52" i="5"/>
  <c r="H36" i="5" s="1"/>
  <c r="C51" i="5"/>
  <c r="H35" i="5" s="1"/>
  <c r="E52" i="5"/>
  <c r="D51" i="5"/>
  <c r="D50" i="5"/>
  <c r="C49" i="5"/>
  <c r="D49" i="5"/>
  <c r="H34" i="5" s="1"/>
  <c r="C48" i="5"/>
  <c r="H33" i="5" s="1"/>
  <c r="E49" i="5"/>
  <c r="D48" i="5"/>
  <c r="D47" i="5"/>
  <c r="C46" i="5"/>
  <c r="D46" i="5"/>
  <c r="H32" i="5" s="1"/>
  <c r="C45" i="5"/>
  <c r="H31" i="5" s="1"/>
  <c r="E46" i="5"/>
  <c r="D45" i="5"/>
  <c r="D44" i="5"/>
  <c r="C43" i="5"/>
  <c r="D43" i="5"/>
  <c r="H30" i="5" s="1"/>
  <c r="C42" i="5"/>
  <c r="H29" i="5" s="1"/>
  <c r="E43" i="5"/>
  <c r="D42" i="5"/>
  <c r="D41" i="5"/>
  <c r="C40" i="5"/>
  <c r="D40" i="5"/>
  <c r="H28" i="5" s="1"/>
  <c r="C39" i="5"/>
  <c r="H27" i="5" s="1"/>
  <c r="E40" i="5"/>
  <c r="D39" i="5"/>
  <c r="D38" i="5"/>
  <c r="E37" i="5"/>
  <c r="D37" i="5"/>
  <c r="H26" i="5" s="1"/>
  <c r="C37" i="5"/>
  <c r="D36" i="5"/>
  <c r="C36" i="5"/>
  <c r="H25" i="5" s="1"/>
  <c r="D35" i="5"/>
  <c r="E34" i="5"/>
  <c r="D34" i="5"/>
  <c r="H24" i="5" s="1"/>
  <c r="C34" i="5"/>
  <c r="D33" i="5"/>
  <c r="C33" i="5"/>
  <c r="H23" i="5" s="1"/>
  <c r="D32" i="5"/>
  <c r="E31" i="5"/>
  <c r="D31" i="5"/>
  <c r="H22" i="5" s="1"/>
  <c r="C31" i="5"/>
  <c r="D30" i="5"/>
  <c r="C30" i="5"/>
  <c r="H21" i="5" s="1"/>
  <c r="D29" i="5"/>
  <c r="E28" i="5"/>
  <c r="D28" i="5"/>
  <c r="H20" i="5" s="1"/>
  <c r="C28" i="5"/>
  <c r="D27" i="5"/>
  <c r="C27" i="5"/>
  <c r="H19" i="5" s="1"/>
  <c r="D26" i="5"/>
  <c r="E25" i="5"/>
  <c r="D25" i="5"/>
  <c r="H18" i="5" s="1"/>
  <c r="C25" i="5"/>
  <c r="D24" i="5"/>
  <c r="C24" i="5"/>
  <c r="H17" i="5" s="1"/>
  <c r="D23" i="5"/>
  <c r="E22" i="5"/>
  <c r="D22" i="5"/>
  <c r="H16" i="5" s="1"/>
  <c r="C22" i="5"/>
  <c r="D21" i="5"/>
  <c r="C21" i="5"/>
  <c r="H15" i="5" s="1"/>
  <c r="D20" i="5"/>
  <c r="E19" i="5"/>
  <c r="D19" i="5"/>
  <c r="H14" i="5" s="1"/>
  <c r="C19" i="5"/>
  <c r="D18" i="5"/>
  <c r="C18" i="5"/>
  <c r="H13" i="5" s="1"/>
  <c r="D17" i="5"/>
  <c r="E16" i="5"/>
  <c r="D16" i="5"/>
  <c r="H12" i="5" s="1"/>
  <c r="C16" i="5"/>
  <c r="D15" i="5"/>
  <c r="C15" i="5"/>
  <c r="H11" i="5" s="1"/>
  <c r="D14" i="5"/>
  <c r="E13" i="5"/>
  <c r="D13" i="5"/>
  <c r="H10" i="5" s="1"/>
  <c r="C13" i="5"/>
  <c r="D12" i="5"/>
  <c r="C12" i="5"/>
  <c r="H9" i="5" s="1"/>
  <c r="D11" i="5"/>
  <c r="E10" i="5"/>
  <c r="D10" i="5"/>
  <c r="H8" i="5" s="1"/>
  <c r="C10" i="5"/>
  <c r="D9" i="5"/>
  <c r="C9" i="5"/>
  <c r="H7" i="5" s="1"/>
  <c r="D8" i="5"/>
  <c r="E7" i="5"/>
  <c r="D7" i="5"/>
  <c r="H6" i="5" s="1"/>
  <c r="C7" i="5"/>
  <c r="D6" i="5"/>
  <c r="C6" i="5"/>
  <c r="H5" i="5" s="1"/>
  <c r="B6" i="5"/>
  <c r="B5" i="5"/>
  <c r="H4" i="5" s="1"/>
  <c r="B4" i="5"/>
  <c r="B3" i="5"/>
  <c r="H3" i="5" s="1"/>
  <c r="H2" i="5"/>
</calcChain>
</file>

<file path=xl/sharedStrings.xml><?xml version="1.0" encoding="utf-8"?>
<sst xmlns="http://schemas.openxmlformats.org/spreadsheetml/2006/main" count="2021" uniqueCount="690">
  <si>
    <t>KG</t>
  </si>
  <si>
    <t>ECO22184</t>
  </si>
  <si>
    <t>EMP22184</t>
  </si>
  <si>
    <t>221841TT01</t>
  </si>
  <si>
    <t>221841HT01</t>
  </si>
  <si>
    <t>221842TT02</t>
  </si>
  <si>
    <t>221842HT02</t>
  </si>
  <si>
    <t>221843TT03</t>
  </si>
  <si>
    <t>221843HT03</t>
  </si>
  <si>
    <t>221844TT04</t>
  </si>
  <si>
    <t>221844HT04</t>
  </si>
  <si>
    <t>221845TT05</t>
  </si>
  <si>
    <t>221845HT05</t>
  </si>
  <si>
    <t>221846TT06</t>
  </si>
  <si>
    <t>221846HT06</t>
  </si>
  <si>
    <t>221847TT07</t>
  </si>
  <si>
    <t>221847HT07</t>
  </si>
  <si>
    <t>221848TT08</t>
  </si>
  <si>
    <t>221848HT08</t>
  </si>
  <si>
    <t>221849TT09</t>
  </si>
  <si>
    <t>221849HT09</t>
  </si>
  <si>
    <t>2218410TT10</t>
  </si>
  <si>
    <t>2218410HT10</t>
  </si>
  <si>
    <t>2218411TT11</t>
  </si>
  <si>
    <t>2218411HT11</t>
  </si>
  <si>
    <t>2218412TT12</t>
  </si>
  <si>
    <t>2218412HT12</t>
  </si>
  <si>
    <t>2218413TT13</t>
  </si>
  <si>
    <t>2218413HT13</t>
  </si>
  <si>
    <t>2218414TT14</t>
  </si>
  <si>
    <t>2218414HT14</t>
  </si>
  <si>
    <t>2218415TT15</t>
  </si>
  <si>
    <t>2218415HT15</t>
  </si>
  <si>
    <t>2218416TT16</t>
  </si>
  <si>
    <t>2218416HT16</t>
  </si>
  <si>
    <t>2218417TT17</t>
  </si>
  <si>
    <t>2218417HT17</t>
  </si>
  <si>
    <t>2218418TT18</t>
  </si>
  <si>
    <t>2218418HT18</t>
  </si>
  <si>
    <t>2218419TT19</t>
  </si>
  <si>
    <t>2218419HT19</t>
  </si>
  <si>
    <t>2218420TT20</t>
  </si>
  <si>
    <t>2218420HT20</t>
  </si>
  <si>
    <t>Codigo</t>
  </si>
  <si>
    <t>Descripcion</t>
  </si>
  <si>
    <t>Peso</t>
  </si>
  <si>
    <t>Dibujo</t>
  </si>
  <si>
    <t>13511AM</t>
  </si>
  <si>
    <t>AUTOMANN MEX</t>
  </si>
  <si>
    <t>MULTI</t>
  </si>
  <si>
    <t xml:space="preserve">LEAF SPRING </t>
  </si>
  <si>
    <t>43503AM</t>
  </si>
  <si>
    <t>44103AM</t>
  </si>
  <si>
    <t>44104AM</t>
  </si>
  <si>
    <t>44105AM</t>
  </si>
  <si>
    <t>45113AM</t>
  </si>
  <si>
    <t>81201AM</t>
  </si>
  <si>
    <t>224921AM</t>
  </si>
  <si>
    <t>TAPER</t>
  </si>
  <si>
    <t>396263AM</t>
  </si>
  <si>
    <t>462203AM</t>
  </si>
  <si>
    <t>711591AM</t>
  </si>
  <si>
    <t>4611931AM</t>
  </si>
  <si>
    <t>9030049946AM</t>
  </si>
  <si>
    <t>13503RAM</t>
  </si>
  <si>
    <t>13503R</t>
  </si>
  <si>
    <t>13C301AM</t>
  </si>
  <si>
    <t>13C301</t>
  </si>
  <si>
    <t>13C302AM</t>
  </si>
  <si>
    <t>13C302</t>
  </si>
  <si>
    <t>13C302DAM</t>
  </si>
  <si>
    <t>13C302D</t>
  </si>
  <si>
    <t>13C303AM</t>
  </si>
  <si>
    <t>13C303</t>
  </si>
  <si>
    <t>13C304AM</t>
  </si>
  <si>
    <t>13C304</t>
  </si>
  <si>
    <t>13C305AM</t>
  </si>
  <si>
    <t>13C305</t>
  </si>
  <si>
    <t>13C301CAM</t>
  </si>
  <si>
    <t>13C301C</t>
  </si>
  <si>
    <t>13C302CAM</t>
  </si>
  <si>
    <t>13C302C</t>
  </si>
  <si>
    <t>13C302CDAM</t>
  </si>
  <si>
    <t>13C302CD</t>
  </si>
  <si>
    <t>13C371AM</t>
  </si>
  <si>
    <t>13C371</t>
  </si>
  <si>
    <t>13C372AM</t>
  </si>
  <si>
    <t>13C372</t>
  </si>
  <si>
    <t>13C372DAM</t>
  </si>
  <si>
    <t>13C372D</t>
  </si>
  <si>
    <t>13C372ADAM</t>
  </si>
  <si>
    <t>13C372AD</t>
  </si>
  <si>
    <t>13C421AAM</t>
  </si>
  <si>
    <t>13C421A</t>
  </si>
  <si>
    <t>23C262DAM</t>
  </si>
  <si>
    <t>23C262D</t>
  </si>
  <si>
    <t>23C361GAM</t>
  </si>
  <si>
    <t>23C361G</t>
  </si>
  <si>
    <t>23C362GDAM</t>
  </si>
  <si>
    <t>23C362GD</t>
  </si>
  <si>
    <t>23C362AM</t>
  </si>
  <si>
    <t>23C362</t>
  </si>
  <si>
    <t>23C363AM</t>
  </si>
  <si>
    <t>23C363</t>
  </si>
  <si>
    <t>23C364AM</t>
  </si>
  <si>
    <t>23C364</t>
  </si>
  <si>
    <t>23C365AM</t>
  </si>
  <si>
    <t>23C365</t>
  </si>
  <si>
    <t>23C363BAM</t>
  </si>
  <si>
    <t>23C363B</t>
  </si>
  <si>
    <t>23C372SAM</t>
  </si>
  <si>
    <t>23C372S</t>
  </si>
  <si>
    <t>23C402AM</t>
  </si>
  <si>
    <t>23C402</t>
  </si>
  <si>
    <t>23C403AM</t>
  </si>
  <si>
    <t>23C403</t>
  </si>
  <si>
    <t>23C402ADAM</t>
  </si>
  <si>
    <t>23C402AD</t>
  </si>
  <si>
    <t>23C402FDAM</t>
  </si>
  <si>
    <t>23C402FD</t>
  </si>
  <si>
    <t>23C401MAM</t>
  </si>
  <si>
    <t>23C401M</t>
  </si>
  <si>
    <t>23C402MAM</t>
  </si>
  <si>
    <t>23C402M</t>
  </si>
  <si>
    <t>23C402MDAM</t>
  </si>
  <si>
    <t>23C402MD</t>
  </si>
  <si>
    <t>23C403MAM</t>
  </si>
  <si>
    <t>23C403M</t>
  </si>
  <si>
    <t>23C501VNAM</t>
  </si>
  <si>
    <t>23C501VN</t>
  </si>
  <si>
    <t>23C502DVNAM</t>
  </si>
  <si>
    <t>23C502DVN</t>
  </si>
  <si>
    <t>23C502VNAM</t>
  </si>
  <si>
    <t>23C502VN</t>
  </si>
  <si>
    <t>33342AAM</t>
  </si>
  <si>
    <t>33342A</t>
  </si>
  <si>
    <t>33C560A2DAM</t>
  </si>
  <si>
    <t>33C560A2D</t>
  </si>
  <si>
    <t>33C620C1AM</t>
  </si>
  <si>
    <t>33C620C1</t>
  </si>
  <si>
    <t>396261BJAM</t>
  </si>
  <si>
    <t>396261BJ</t>
  </si>
  <si>
    <t>44101BJAM</t>
  </si>
  <si>
    <t>44101BJ</t>
  </si>
  <si>
    <t>44102DAM</t>
  </si>
  <si>
    <t>44102D</t>
  </si>
  <si>
    <t>44142FAM</t>
  </si>
  <si>
    <t>44142F</t>
  </si>
  <si>
    <t>44143GAM</t>
  </si>
  <si>
    <t>44143G</t>
  </si>
  <si>
    <t>44300LO2AM</t>
  </si>
  <si>
    <t>44300LO2</t>
  </si>
  <si>
    <t>45102CRAM</t>
  </si>
  <si>
    <t>45102CR</t>
  </si>
  <si>
    <t>45170H1AM</t>
  </si>
  <si>
    <t>45170H1</t>
  </si>
  <si>
    <t>45220B5AM</t>
  </si>
  <si>
    <t>45220B5</t>
  </si>
  <si>
    <t>551195XALAM</t>
  </si>
  <si>
    <t>551195XAL</t>
  </si>
  <si>
    <t>TAPER/ZETA</t>
  </si>
  <si>
    <t>71124A1AM</t>
  </si>
  <si>
    <t>71124A1</t>
  </si>
  <si>
    <t>71124A2DAM</t>
  </si>
  <si>
    <t>71124A2D</t>
  </si>
  <si>
    <t>711251BJAM</t>
  </si>
  <si>
    <t>711251BJ</t>
  </si>
  <si>
    <t>71158M1AM</t>
  </si>
  <si>
    <t>71158M1</t>
  </si>
  <si>
    <t>71175A4AM</t>
  </si>
  <si>
    <t>71175A4</t>
  </si>
  <si>
    <t>71175A5AM</t>
  </si>
  <si>
    <t>71175A5</t>
  </si>
  <si>
    <t>80181AAM</t>
  </si>
  <si>
    <t>80181A</t>
  </si>
  <si>
    <t>80181GMAM</t>
  </si>
  <si>
    <t>80181GM</t>
  </si>
  <si>
    <t>80181NPBJAM</t>
  </si>
  <si>
    <t>80181NPBJ</t>
  </si>
  <si>
    <t>80181UMAM</t>
  </si>
  <si>
    <t>80181UM</t>
  </si>
  <si>
    <t>80182AAM</t>
  </si>
  <si>
    <t>80182A</t>
  </si>
  <si>
    <t>80182ADAM</t>
  </si>
  <si>
    <t>80182AD</t>
  </si>
  <si>
    <t>80182GMAM</t>
  </si>
  <si>
    <t>80182GM</t>
  </si>
  <si>
    <t>80182GMDAM</t>
  </si>
  <si>
    <t>80182GMD</t>
  </si>
  <si>
    <t>80182MAM</t>
  </si>
  <si>
    <t>80182M</t>
  </si>
  <si>
    <t>80182NPDRAM</t>
  </si>
  <si>
    <t>80182NPDR</t>
  </si>
  <si>
    <t>80182UMDAM</t>
  </si>
  <si>
    <t>80182UMD</t>
  </si>
  <si>
    <t>80183GMAM</t>
  </si>
  <si>
    <t>80183GM</t>
  </si>
  <si>
    <t>80183MAM</t>
  </si>
  <si>
    <t>80183M</t>
  </si>
  <si>
    <t>80184MAM</t>
  </si>
  <si>
    <t>80184M</t>
  </si>
  <si>
    <t>80281BAM</t>
  </si>
  <si>
    <t>80281B</t>
  </si>
  <si>
    <t>81145BAM</t>
  </si>
  <si>
    <t>81145B</t>
  </si>
  <si>
    <t>81202DAM</t>
  </si>
  <si>
    <t>81202D</t>
  </si>
  <si>
    <t>DI01091AM</t>
  </si>
  <si>
    <t>DI01091</t>
  </si>
  <si>
    <t>HI3007162DAM</t>
  </si>
  <si>
    <t>HI3007162D</t>
  </si>
  <si>
    <t>RX2010TAM</t>
  </si>
  <si>
    <t>RX2010T</t>
  </si>
  <si>
    <t>SLR175AIAM</t>
  </si>
  <si>
    <t>SLR175AI</t>
  </si>
  <si>
    <t>SW4B1AM</t>
  </si>
  <si>
    <t>SW4B1</t>
  </si>
  <si>
    <t>SW4B2DAM</t>
  </si>
  <si>
    <t>SW4B2D</t>
  </si>
  <si>
    <t>SW5AM</t>
  </si>
  <si>
    <t>SW5</t>
  </si>
  <si>
    <t>MC-MULTI</t>
  </si>
  <si>
    <t>SW7AM</t>
  </si>
  <si>
    <t>SW7</t>
  </si>
  <si>
    <t>TO47111AM</t>
  </si>
  <si>
    <t>TO47111</t>
  </si>
  <si>
    <t>TO47112AM</t>
  </si>
  <si>
    <t>TO47112</t>
  </si>
  <si>
    <t>TRA27261AM</t>
  </si>
  <si>
    <t>TRA2726-1</t>
  </si>
  <si>
    <t>TRA27271AM</t>
  </si>
  <si>
    <t>TRA2727-1</t>
  </si>
  <si>
    <t>TRX22532334AM</t>
  </si>
  <si>
    <t>TRX22532334</t>
  </si>
  <si>
    <t>TRX22532342AM</t>
  </si>
  <si>
    <t>TRX22532342</t>
  </si>
  <si>
    <t>TRX22532346AM</t>
  </si>
  <si>
    <t>TRX22532346</t>
  </si>
  <si>
    <t>TRX22532356AM</t>
  </si>
  <si>
    <t>TRX22532356</t>
  </si>
  <si>
    <t>TRX22532360AM</t>
  </si>
  <si>
    <t>TRX22532360</t>
  </si>
  <si>
    <t>TRX25036047AM</t>
  </si>
  <si>
    <t>TRX25036047</t>
  </si>
  <si>
    <t>TRX30036047AM</t>
  </si>
  <si>
    <t>TRX30036047</t>
  </si>
  <si>
    <t>TRX304031AM</t>
  </si>
  <si>
    <t>TRX304031</t>
  </si>
  <si>
    <t>TRX304036AM</t>
  </si>
  <si>
    <t>TRX304036</t>
  </si>
  <si>
    <t>TRX304041AM</t>
  </si>
  <si>
    <t>TRX304041</t>
  </si>
  <si>
    <t>TRX304046AM</t>
  </si>
  <si>
    <t>TRX304046</t>
  </si>
  <si>
    <t>TRX304054DAM</t>
  </si>
  <si>
    <t>TRX304054D</t>
  </si>
  <si>
    <t>TRX304059AM</t>
  </si>
  <si>
    <t>TRX304059</t>
  </si>
  <si>
    <t>TRX304931AM</t>
  </si>
  <si>
    <t>TRX304931</t>
  </si>
  <si>
    <t>TRX304937AM</t>
  </si>
  <si>
    <t>TRX304937</t>
  </si>
  <si>
    <t>TRX304942AM</t>
  </si>
  <si>
    <t>TRX304942</t>
  </si>
  <si>
    <t>TRX304948AM</t>
  </si>
  <si>
    <t>TRX304948</t>
  </si>
  <si>
    <t>TRX304955DAM</t>
  </si>
  <si>
    <t>TRX304955D</t>
  </si>
  <si>
    <t>TRX304957AM</t>
  </si>
  <si>
    <t>TRX304957</t>
  </si>
  <si>
    <t>TRX304960AM</t>
  </si>
  <si>
    <t>TRX304960</t>
  </si>
  <si>
    <t>TRX304972DAM</t>
  </si>
  <si>
    <t>TRX304972D</t>
  </si>
  <si>
    <t>TRX304976AM</t>
  </si>
  <si>
    <t>TRX304976</t>
  </si>
  <si>
    <t>TRX701140AM</t>
  </si>
  <si>
    <t>TRX701140</t>
  </si>
  <si>
    <t>50202AM</t>
  </si>
  <si>
    <t>442003AM</t>
  </si>
  <si>
    <t>462201BJAM</t>
  </si>
  <si>
    <t>462201BJ</t>
  </si>
  <si>
    <t>942001AM</t>
  </si>
  <si>
    <t>4612802AM</t>
  </si>
  <si>
    <t>44141FAM</t>
  </si>
  <si>
    <t>44141F</t>
  </si>
  <si>
    <t>44300LO1BJAM</t>
  </si>
  <si>
    <t>44300LO1BJ</t>
  </si>
  <si>
    <t>4612401BJAM</t>
  </si>
  <si>
    <t>4612401BJ</t>
  </si>
  <si>
    <t>4612402AM</t>
  </si>
  <si>
    <t>4614321BJAM</t>
  </si>
  <si>
    <t>4614321BJ</t>
  </si>
  <si>
    <t>4614621BJAM</t>
  </si>
  <si>
    <t>4614621BJ</t>
  </si>
  <si>
    <t>461464R2DAM</t>
  </si>
  <si>
    <t>461464R2D</t>
  </si>
  <si>
    <t>50220M1BJAM</t>
  </si>
  <si>
    <t>50220M1BJ</t>
  </si>
  <si>
    <t>5512161BJAM</t>
  </si>
  <si>
    <t>5512161BJ</t>
  </si>
  <si>
    <t>5512162DAM</t>
  </si>
  <si>
    <t>5512162D</t>
  </si>
  <si>
    <t>5512181BJAM</t>
  </si>
  <si>
    <t>5512181BJ</t>
  </si>
  <si>
    <t>5512182DAM</t>
  </si>
  <si>
    <t>5512182D</t>
  </si>
  <si>
    <t>594081BJAM</t>
  </si>
  <si>
    <t>594081BJ</t>
  </si>
  <si>
    <t>59428M1BJAM</t>
  </si>
  <si>
    <t>59428M1BJ</t>
  </si>
  <si>
    <t>59428M2AM</t>
  </si>
  <si>
    <t>59428M-2</t>
  </si>
  <si>
    <t>594681BJAM</t>
  </si>
  <si>
    <t>594681BJ</t>
  </si>
  <si>
    <t>594682DAM</t>
  </si>
  <si>
    <t>594682D</t>
  </si>
  <si>
    <t>70138C1BJAM</t>
  </si>
  <si>
    <t>70138C1BJ</t>
  </si>
  <si>
    <t>70138C2AM</t>
  </si>
  <si>
    <t>70138C2</t>
  </si>
  <si>
    <t>70138C3AM</t>
  </si>
  <si>
    <t>70138C3</t>
  </si>
  <si>
    <t>81141FRAM</t>
  </si>
  <si>
    <t>81141FR</t>
  </si>
  <si>
    <t>81142EDAM</t>
  </si>
  <si>
    <t>81142ED</t>
  </si>
  <si>
    <t>81143EAM</t>
  </si>
  <si>
    <t>81143E</t>
  </si>
  <si>
    <t>LA44632AM</t>
  </si>
  <si>
    <t>LA44632</t>
  </si>
  <si>
    <t>LA695A2AM</t>
  </si>
  <si>
    <t>LA695A2</t>
  </si>
  <si>
    <t>SLRNA197P1BJAM</t>
  </si>
  <si>
    <t>SLRNA197P1BJ</t>
  </si>
  <si>
    <t>TRA074XALAM</t>
  </si>
  <si>
    <t>TRA074XAL</t>
  </si>
  <si>
    <t>TRA2727AM</t>
  </si>
  <si>
    <t>TRA2727</t>
  </si>
  <si>
    <t>437781AM</t>
  </si>
  <si>
    <t>4612441BJAM</t>
  </si>
  <si>
    <t>4612441BJ</t>
  </si>
  <si>
    <t>4612442AM</t>
  </si>
  <si>
    <t>4614943DAM</t>
  </si>
  <si>
    <t>4614943D</t>
  </si>
  <si>
    <t>461742DAM</t>
  </si>
  <si>
    <t>461742D</t>
  </si>
  <si>
    <t>551326AM</t>
  </si>
  <si>
    <t>MC-TAPER</t>
  </si>
  <si>
    <t>4612171AM</t>
  </si>
  <si>
    <t>45170AAM</t>
  </si>
  <si>
    <t>45170A</t>
  </si>
  <si>
    <t>71175AAM</t>
  </si>
  <si>
    <t>71175A</t>
  </si>
  <si>
    <t>50389XALAM</t>
  </si>
  <si>
    <t>50389XAL</t>
  </si>
  <si>
    <t>TRA075XALAM</t>
  </si>
  <si>
    <t>TRA075XAL</t>
  </si>
  <si>
    <t>SW4BAM</t>
  </si>
  <si>
    <t>SW4B</t>
  </si>
  <si>
    <t>9017532365AM</t>
  </si>
  <si>
    <t>81141EBJAM</t>
  </si>
  <si>
    <t>81141EBJ</t>
  </si>
  <si>
    <t>9613081BJAM</t>
  </si>
  <si>
    <t>9613081BJ</t>
  </si>
  <si>
    <t>452001BJAM</t>
  </si>
  <si>
    <t>452001BJ</t>
  </si>
  <si>
    <t>711581AM</t>
  </si>
  <si>
    <t>BKT1001MAM</t>
  </si>
  <si>
    <t>BKT1001M</t>
  </si>
  <si>
    <t>442001BJAM</t>
  </si>
  <si>
    <t>442001BJ</t>
  </si>
  <si>
    <t>4614641BJAM</t>
  </si>
  <si>
    <t>4614641BJ</t>
  </si>
  <si>
    <t>LA44631BJAM</t>
  </si>
  <si>
    <t>LA44631BJ</t>
  </si>
  <si>
    <t>4612801BJAM</t>
  </si>
  <si>
    <t>4612801BJ</t>
  </si>
  <si>
    <t>462202AM</t>
  </si>
  <si>
    <t>4614322DRAM</t>
  </si>
  <si>
    <t>4614322DR</t>
  </si>
  <si>
    <t>SLRNA197P2AM</t>
  </si>
  <si>
    <t>SLRNA197P2</t>
  </si>
  <si>
    <t>9613082AM</t>
  </si>
  <si>
    <t>81141KBJAM</t>
  </si>
  <si>
    <t>81141KBJ</t>
  </si>
  <si>
    <t>396264AM</t>
  </si>
  <si>
    <t>81143BAM</t>
  </si>
  <si>
    <t>81143B</t>
  </si>
  <si>
    <t>TRX701146AM</t>
  </si>
  <si>
    <t>TRX701146</t>
  </si>
  <si>
    <t>13520AM</t>
  </si>
  <si>
    <t>23C540C1AM</t>
  </si>
  <si>
    <t>23C540C1</t>
  </si>
  <si>
    <t>E52261AM</t>
  </si>
  <si>
    <t>E52261</t>
  </si>
  <si>
    <t>81141EMBJAM</t>
  </si>
  <si>
    <t>81141EMBJ</t>
  </si>
  <si>
    <t>452002AM</t>
  </si>
  <si>
    <t>559642AM</t>
  </si>
  <si>
    <t>13C500D1AM</t>
  </si>
  <si>
    <t>13C500D1</t>
  </si>
  <si>
    <t>437742AM</t>
  </si>
  <si>
    <t>44300LO3AM</t>
  </si>
  <si>
    <t>44300LO3</t>
  </si>
  <si>
    <t>45114DAM</t>
  </si>
  <si>
    <t>45114D</t>
  </si>
  <si>
    <t>MTR9041AM</t>
  </si>
  <si>
    <t>MTR9041</t>
  </si>
  <si>
    <t>E5226AM</t>
  </si>
  <si>
    <t>E5226</t>
  </si>
  <si>
    <t>4614941BJAM</t>
  </si>
  <si>
    <t>4614941BJ</t>
  </si>
  <si>
    <t>23C500M2DAM</t>
  </si>
  <si>
    <t>23C500M2D</t>
  </si>
  <si>
    <t>4613191BJAM</t>
  </si>
  <si>
    <t>4613191BJ</t>
  </si>
  <si>
    <t>55121713TAM</t>
  </si>
  <si>
    <t>55121713T</t>
  </si>
  <si>
    <t>437741AM</t>
  </si>
  <si>
    <t>43774-1</t>
  </si>
  <si>
    <t>TRA2726AM</t>
  </si>
  <si>
    <t>TRA2726</t>
  </si>
  <si>
    <t>TRX22532352AM</t>
  </si>
  <si>
    <t>TRX22532352</t>
  </si>
  <si>
    <t>TRX30049964AM</t>
  </si>
  <si>
    <t>TRX30049964</t>
  </si>
  <si>
    <t>TRX1451AM</t>
  </si>
  <si>
    <t>TRX1451</t>
  </si>
  <si>
    <t>33C560C1AAM</t>
  </si>
  <si>
    <t>33C560C1A</t>
  </si>
  <si>
    <t>TRX25032343AM</t>
  </si>
  <si>
    <t>TRX25032343</t>
  </si>
  <si>
    <t>TRX25040160AM</t>
  </si>
  <si>
    <t>TRX25040160</t>
  </si>
  <si>
    <t>4613192AM</t>
  </si>
  <si>
    <t>23C364BAM</t>
  </si>
  <si>
    <t>23C364B</t>
  </si>
  <si>
    <t>TRX25036052AM</t>
  </si>
  <si>
    <t>TRX25036052</t>
  </si>
  <si>
    <t>TRX30049926AM</t>
  </si>
  <si>
    <t>TRX30049926</t>
  </si>
  <si>
    <t>TRX30049952AM</t>
  </si>
  <si>
    <t>TRX30049952</t>
  </si>
  <si>
    <t>LA695A1BJAM</t>
  </si>
  <si>
    <t>LA695A1BJ</t>
  </si>
  <si>
    <t>32221AM</t>
  </si>
  <si>
    <t>442002DAM</t>
  </si>
  <si>
    <t>442002D</t>
  </si>
  <si>
    <t>23C404MAM</t>
  </si>
  <si>
    <t>23C404M</t>
  </si>
  <si>
    <t>TRX22532338AM</t>
  </si>
  <si>
    <t>TRX22532338</t>
  </si>
  <si>
    <t>33C563CAM</t>
  </si>
  <si>
    <t>33C563C</t>
  </si>
  <si>
    <t>TRX25044760AM</t>
  </si>
  <si>
    <t>TRX25044760</t>
  </si>
  <si>
    <t>TRX30036042AM</t>
  </si>
  <si>
    <t>TRX30036042</t>
  </si>
  <si>
    <t>81144BAM</t>
  </si>
  <si>
    <t>81144B</t>
  </si>
  <si>
    <t>TRX22532347AM</t>
  </si>
  <si>
    <t>TRX22532347</t>
  </si>
  <si>
    <t>TRX25044746AM</t>
  </si>
  <si>
    <t>TRX25044746</t>
  </si>
  <si>
    <t>45220B3AM</t>
  </si>
  <si>
    <t>45220B3</t>
  </si>
  <si>
    <t>4614942DAM</t>
  </si>
  <si>
    <t>4614942D</t>
  </si>
  <si>
    <t>4613351AM</t>
  </si>
  <si>
    <t>TRX198A1AM</t>
  </si>
  <si>
    <t>TRX198A1</t>
  </si>
  <si>
    <t>45220B4AM</t>
  </si>
  <si>
    <t>45220B4</t>
  </si>
  <si>
    <t>5512422DAM</t>
  </si>
  <si>
    <t>5512422D</t>
  </si>
  <si>
    <t>Ayuda visual de rotulo de números de parte Automann Mexico</t>
  </si>
  <si>
    <t>Numero Nacional</t>
  </si>
  <si>
    <t>Numero Automann</t>
  </si>
  <si>
    <t>Rotulo</t>
  </si>
  <si>
    <t>Etiqueta</t>
  </si>
  <si>
    <t>34030-11</t>
  </si>
  <si>
    <t>42029-D3</t>
  </si>
  <si>
    <t>44029-3</t>
  </si>
  <si>
    <t>44029-4</t>
  </si>
  <si>
    <t>44029-5</t>
  </si>
  <si>
    <t>32030-13</t>
  </si>
  <si>
    <t>41723-N1</t>
  </si>
  <si>
    <t>28828-CH1</t>
  </si>
  <si>
    <t>39626-FL3</t>
  </si>
  <si>
    <t>48026-3</t>
  </si>
  <si>
    <t>39023-K1</t>
  </si>
  <si>
    <t>36030-F1</t>
  </si>
  <si>
    <t>20026-1</t>
  </si>
  <si>
    <t>20026-2</t>
  </si>
  <si>
    <t>20026-2RD</t>
  </si>
  <si>
    <t>20026-3</t>
  </si>
  <si>
    <t>20026-4</t>
  </si>
  <si>
    <t>20026-5</t>
  </si>
  <si>
    <t>26026-C1</t>
  </si>
  <si>
    <t>26026-C2</t>
  </si>
  <si>
    <t>26026-C2RD</t>
  </si>
  <si>
    <t>23026-FL1</t>
  </si>
  <si>
    <t>23026-FL2</t>
  </si>
  <si>
    <t>23026-FL2RD</t>
  </si>
  <si>
    <t>35225-FD2RD</t>
  </si>
  <si>
    <t>FD-0007-1</t>
  </si>
  <si>
    <t>25026-2RD</t>
  </si>
  <si>
    <t>25026-CH1</t>
  </si>
  <si>
    <t>25026-CH2RD</t>
  </si>
  <si>
    <t>25030-2</t>
  </si>
  <si>
    <t>25030-3E</t>
  </si>
  <si>
    <t>25030-4</t>
  </si>
  <si>
    <t>25030-5</t>
  </si>
  <si>
    <t>25026-3A</t>
  </si>
  <si>
    <t>CH-0002-2RD</t>
  </si>
  <si>
    <t>23032-2</t>
  </si>
  <si>
    <t>23032-3</t>
  </si>
  <si>
    <t>23032-2RD</t>
  </si>
  <si>
    <t>22-1567-2RD</t>
  </si>
  <si>
    <t>24032-1</t>
  </si>
  <si>
    <t>24032-2</t>
  </si>
  <si>
    <t>24032-2RD</t>
  </si>
  <si>
    <t>24032-3</t>
  </si>
  <si>
    <t>28925-IZ1</t>
  </si>
  <si>
    <t>28925-IZ2</t>
  </si>
  <si>
    <t>28925-IZ3</t>
  </si>
  <si>
    <t>34328M</t>
  </si>
  <si>
    <t>34-1459M-2RD</t>
  </si>
  <si>
    <t>28828-DG1</t>
  </si>
  <si>
    <t>39626HD-FL1</t>
  </si>
  <si>
    <t>44029-1</t>
  </si>
  <si>
    <t>44029-2</t>
  </si>
  <si>
    <t>47033-E2</t>
  </si>
  <si>
    <t>47033-M3</t>
  </si>
  <si>
    <t>MB-0008-2</t>
  </si>
  <si>
    <t>36038-MB6</t>
  </si>
  <si>
    <t>28729-ST1</t>
  </si>
  <si>
    <t>40744-MB5</t>
  </si>
  <si>
    <t>55067Z</t>
  </si>
  <si>
    <t>48017-G1</t>
  </si>
  <si>
    <t>48017-G2</t>
  </si>
  <si>
    <t>42028-1</t>
  </si>
  <si>
    <t>39728-K1</t>
  </si>
  <si>
    <t>32028-4</t>
  </si>
  <si>
    <t>32028-5</t>
  </si>
  <si>
    <t>20022-1</t>
  </si>
  <si>
    <t>20023-1</t>
  </si>
  <si>
    <t>NI-0003-1</t>
  </si>
  <si>
    <t>20025-NI1</t>
  </si>
  <si>
    <t>20022-2</t>
  </si>
  <si>
    <t>20022-2RD</t>
  </si>
  <si>
    <t>20023-2</t>
  </si>
  <si>
    <t>20023-2RD</t>
  </si>
  <si>
    <t>NI-0001-2</t>
  </si>
  <si>
    <t>NI-0003-2RD</t>
  </si>
  <si>
    <t>20025-NI2RD</t>
  </si>
  <si>
    <t>20023-3</t>
  </si>
  <si>
    <t>NI-0001-3</t>
  </si>
  <si>
    <t>NI-0001-4</t>
  </si>
  <si>
    <t>38019-1</t>
  </si>
  <si>
    <t>47025-GR5</t>
  </si>
  <si>
    <t>41723-G</t>
  </si>
  <si>
    <t>23016-1</t>
  </si>
  <si>
    <t>701125-HI2</t>
  </si>
  <si>
    <t>32125-LR</t>
  </si>
  <si>
    <t>32028-1</t>
  </si>
  <si>
    <t>SW4-1</t>
  </si>
  <si>
    <t>SW4-2R</t>
  </si>
  <si>
    <t>SW5M</t>
  </si>
  <si>
    <t>E5115M</t>
  </si>
  <si>
    <t>90-297-1</t>
  </si>
  <si>
    <t>90-297-2RD</t>
  </si>
  <si>
    <t>20323M</t>
  </si>
  <si>
    <t>23323M</t>
  </si>
  <si>
    <t>34030-6</t>
  </si>
  <si>
    <t>34030-5</t>
  </si>
  <si>
    <t>34030-4</t>
  </si>
  <si>
    <t>34030-3</t>
  </si>
  <si>
    <t>34030-2</t>
  </si>
  <si>
    <t>34030-1</t>
  </si>
  <si>
    <t>32030-6</t>
  </si>
  <si>
    <t>32030-5</t>
  </si>
  <si>
    <t>32030-4</t>
  </si>
  <si>
    <t>32030-3</t>
  </si>
  <si>
    <t>32030-2</t>
  </si>
  <si>
    <t>32328M</t>
  </si>
  <si>
    <t>32030-1</t>
  </si>
  <si>
    <t>32038-2</t>
  </si>
  <si>
    <t>32038-1</t>
  </si>
  <si>
    <t>24726-IZ3</t>
  </si>
  <si>
    <t>39725-MB</t>
  </si>
  <si>
    <t>702534-MB3</t>
  </si>
  <si>
    <t>48026-1</t>
  </si>
  <si>
    <t>48026-V1</t>
  </si>
  <si>
    <t>48026-M2</t>
  </si>
  <si>
    <t>47033-E1</t>
  </si>
  <si>
    <t>MB-0008-1</t>
  </si>
  <si>
    <t>49128-P</t>
  </si>
  <si>
    <t>49228-P</t>
  </si>
  <si>
    <t>50026-F1</t>
  </si>
  <si>
    <t>39633-FL1</t>
  </si>
  <si>
    <t>50025-FLR</t>
  </si>
  <si>
    <t>50032-VL</t>
  </si>
  <si>
    <t>55-1216-1</t>
  </si>
  <si>
    <t>55-1216-2</t>
  </si>
  <si>
    <t>50029-IN1</t>
  </si>
  <si>
    <t>50029-IT2</t>
  </si>
  <si>
    <t>48127-KC</t>
  </si>
  <si>
    <t>50032-KW1</t>
  </si>
  <si>
    <t>50032-KW2</t>
  </si>
  <si>
    <t>50032-1</t>
  </si>
  <si>
    <t>50032-2</t>
  </si>
  <si>
    <t>49032-1</t>
  </si>
  <si>
    <t>49032-2</t>
  </si>
  <si>
    <t>49032-3</t>
  </si>
  <si>
    <t>48029-RM1</t>
  </si>
  <si>
    <t>49029-S2</t>
  </si>
  <si>
    <t>49029-S3</t>
  </si>
  <si>
    <t>49026-FG2</t>
  </si>
  <si>
    <t>49026-FL2</t>
  </si>
  <si>
    <t>49125-IT</t>
  </si>
  <si>
    <t>TRA074</t>
  </si>
  <si>
    <t>36028-FD1</t>
  </si>
  <si>
    <t>461244F-01</t>
  </si>
  <si>
    <t>461244F-02</t>
  </si>
  <si>
    <t>461494F-03</t>
  </si>
  <si>
    <t>46174F-02</t>
  </si>
  <si>
    <t>49025-IT</t>
  </si>
  <si>
    <t>38926-F1</t>
  </si>
  <si>
    <t>MB-0012</t>
  </si>
  <si>
    <t>32028M</t>
  </si>
  <si>
    <t>50389Z</t>
  </si>
  <si>
    <t>TRA075</t>
  </si>
  <si>
    <t>SW4</t>
  </si>
  <si>
    <t>17460M</t>
  </si>
  <si>
    <t>49029-S1</t>
  </si>
  <si>
    <t>50027-V1</t>
  </si>
  <si>
    <t>39937-MB1</t>
  </si>
  <si>
    <t>39028-K1</t>
  </si>
  <si>
    <t>42507-KW</t>
  </si>
  <si>
    <t>702534-MB1</t>
  </si>
  <si>
    <t>50025-FL1</t>
  </si>
  <si>
    <t>49026-FG1</t>
  </si>
  <si>
    <t>48026-M1</t>
  </si>
  <si>
    <t>48026-2</t>
  </si>
  <si>
    <t>50026R-F2</t>
  </si>
  <si>
    <t>49225-I2</t>
  </si>
  <si>
    <t>50027-V2</t>
  </si>
  <si>
    <t>42025-IN1</t>
  </si>
  <si>
    <t>39626-FL4</t>
  </si>
  <si>
    <t>47025-GR3</t>
  </si>
  <si>
    <t>24726-IZ3R</t>
  </si>
  <si>
    <t>33019-A</t>
  </si>
  <si>
    <t>21622-IZ1</t>
  </si>
  <si>
    <t>E5226-X1</t>
  </si>
  <si>
    <t>50029-IT1</t>
  </si>
  <si>
    <t>39937-MB2</t>
  </si>
  <si>
    <t>49025-I2</t>
  </si>
  <si>
    <t>28826-FD</t>
  </si>
  <si>
    <t>43804F-02</t>
  </si>
  <si>
    <t>MB-0008-3</t>
  </si>
  <si>
    <t>32030-13R</t>
  </si>
  <si>
    <t>17014-E1</t>
  </si>
  <si>
    <t>E5226M</t>
  </si>
  <si>
    <t>461494BF-01</t>
  </si>
  <si>
    <t>56-297-2</t>
  </si>
  <si>
    <t>39626-FL1</t>
  </si>
  <si>
    <t>37127-T</t>
  </si>
  <si>
    <t>43804F-01</t>
  </si>
  <si>
    <t>32332M</t>
  </si>
  <si>
    <t>32021-1</t>
  </si>
  <si>
    <t>33017-A1</t>
  </si>
  <si>
    <t>39626-FL2</t>
  </si>
  <si>
    <t>25026-4A</t>
  </si>
  <si>
    <t>32313M</t>
  </si>
  <si>
    <t>49026-FL1</t>
  </si>
  <si>
    <t>33026-1</t>
  </si>
  <si>
    <t>702534-MB2</t>
  </si>
  <si>
    <t>24032-4</t>
  </si>
  <si>
    <t>32030-DG3</t>
  </si>
  <si>
    <t>27330M</t>
  </si>
  <si>
    <t>33321M</t>
  </si>
  <si>
    <t>47025-GR4</t>
  </si>
  <si>
    <t>20323-MG</t>
  </si>
  <si>
    <t>40744-MB3</t>
  </si>
  <si>
    <t>461494F-02</t>
  </si>
  <si>
    <t>28929-FG</t>
  </si>
  <si>
    <t>32023-L1</t>
  </si>
  <si>
    <t>40744-MB4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</si>
</sst>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66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65943</xdr:colOff>
      <xdr:row>0</xdr:row>
      <xdr:rowOff>124558</xdr:rowOff>
    </xdr:from>
    <xdr:to>
      <xdr:col>0</xdr:col>
      <xdr:colOff>1919738</xdr:colOff>
      <xdr:row>3</xdr:row>
      <xdr:rowOff>175846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AC123A8-E203-9EEA-4143-F6CD1FA56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4197" b="31312"/>
        <a:stretch>
          <a:fillRect/>
        </a:stretch>
      </xdr:blipFill>
      <xdr:spPr>
        <a:xfrm>
          <a:off x="65943" y="124558"/>
          <a:ext cx="1853795" cy="622788"/>
        </a:xfrm>
        <a:prstGeom prst="rect">
          <a:avLst/>
        </a:prstGeom>
      </xdr:spPr>
    </xdr:pic>
    <xdr:clientData/>
  </xdr:twoCellAnchor>
  <xdr:twoCellAnchor editAs="oneCell">
    <xdr:from>
      <xdr:col>2</xdr:col>
      <xdr:colOff>1822093</xdr:colOff>
      <xdr:row>0</xdr:row>
      <xdr:rowOff>161195</xdr:rowOff>
    </xdr:from>
    <xdr:to>
      <xdr:col>3</xdr:col>
      <xdr:colOff>1853710</xdr:colOff>
      <xdr:row>3</xdr:row>
      <xdr:rowOff>43963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ADB6A3-D3F0-9A88-64C9-BFD714835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8922" t="33891" r="8355" b="31459"/>
        <a:stretch>
          <a:fillRect/>
        </a:stretch>
      </xdr:blipFill>
      <xdr:spPr>
        <a:xfrm>
          <a:off x="5954478" y="161195"/>
          <a:ext cx="1936617" cy="4542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27C73-47A4-49A2-A026-D4DB26D917B5}">
  <dimension ref="A1:I65"/>
  <sheetViews>
    <sheetView showGridLines="0" workbookViewId="0">
      <selection activeCell="F10" sqref="F10"/>
    </sheetView>
  </sheetViews>
  <sheetFormatPr baseColWidth="10" defaultColWidth="11.42578125" defaultRowHeight="15" x14ac:dyDescent="0.25"/>
  <cols>
    <col min="1" max="1" width="11.42578125" style="1"/>
    <col min="2" max="2" width="17.42578125" style="1" customWidth="1"/>
    <col min="3" max="3" width="18.85546875" style="1" customWidth="1"/>
    <col min="4" max="4" width="16.42578125" style="1" customWidth="1"/>
    <col min="5" max="5" width="15.7109375" style="1" customWidth="1"/>
    <col min="6" max="7" width="11.42578125" style="1"/>
    <col min="8" max="8" width="14.7109375" style="1" bestFit="1" customWidth="1"/>
  </cols>
  <sheetData>
    <row r="1" spans="1:9" x14ac:dyDescent="0.25">
      <c r="A1" s="1">
        <v>22184</v>
      </c>
      <c r="B1" s="2">
        <v>1</v>
      </c>
      <c r="C1" s="2">
        <v>2</v>
      </c>
      <c r="D1" s="2">
        <v>3</v>
      </c>
      <c r="E1" s="2">
        <v>4</v>
      </c>
      <c r="F1" s="2" t="s">
        <v>0</v>
      </c>
      <c r="H1" s="6"/>
    </row>
    <row r="2" spans="1:9" x14ac:dyDescent="0.25">
      <c r="A2" s="1">
        <v>22184</v>
      </c>
      <c r="B2" s="3">
        <f>SUM(F8:F65)</f>
        <v>0</v>
      </c>
      <c r="H2" s="1">
        <f>A2</f>
        <v>22184</v>
      </c>
      <c r="I2" s="1">
        <v>22184</v>
      </c>
    </row>
    <row r="3" spans="1:9" x14ac:dyDescent="0.25">
      <c r="B3" s="1" t="str">
        <f>"ECO"&amp;A2</f>
        <v>ECO22184</v>
      </c>
      <c r="H3" s="1" t="str">
        <f>B3</f>
        <v>ECO22184</v>
      </c>
      <c r="I3" s="1" t="s">
        <v>1</v>
      </c>
    </row>
    <row r="4" spans="1:9" x14ac:dyDescent="0.25">
      <c r="B4" s="7" t="str">
        <f>"ENSAMBLE DE COMPONENTES DE NUMERO "&amp;$A$2</f>
        <v>ENSAMBLE DE COMPONENTES DE NUMERO 22184</v>
      </c>
      <c r="H4" s="1" t="str">
        <f>B5</f>
        <v>EMP22184</v>
      </c>
      <c r="I4" s="1" t="s">
        <v>2</v>
      </c>
    </row>
    <row r="5" spans="1:9" x14ac:dyDescent="0.25">
      <c r="B5" s="1" t="str">
        <f>"EMP"&amp;$A2</f>
        <v>EMP22184</v>
      </c>
      <c r="H5" s="1" t="str">
        <f>C6</f>
        <v>221841TT01</v>
      </c>
      <c r="I5" s="1" t="s">
        <v>3</v>
      </c>
    </row>
    <row r="6" spans="1:9" x14ac:dyDescent="0.25">
      <c r="B6" s="7" t="str">
        <f>"ENSAMBLE DE MATERIA PRIMA DE NUMERO "&amp;$A$2</f>
        <v>ENSAMBLE DE MATERIA PRIMA DE NUMERO 22184</v>
      </c>
      <c r="C6" s="1" t="str">
        <f>A2&amp;"1TT01"</f>
        <v>221841TT01</v>
      </c>
      <c r="D6" s="3">
        <f>F8</f>
        <v>0</v>
      </c>
      <c r="H6" s="1" t="str">
        <f>D7</f>
        <v>221841HT01</v>
      </c>
      <c r="I6" s="1" t="s">
        <v>4</v>
      </c>
    </row>
    <row r="7" spans="1:9" x14ac:dyDescent="0.25">
      <c r="B7" s="8"/>
      <c r="C7" s="7" t="str">
        <f>"HOJA 1 TEMPLADA DEL NUMERO DE PARTE "&amp;$A$2</f>
        <v>HOJA 1 TEMPLADA DEL NUMERO DE PARTE 22184</v>
      </c>
      <c r="D7" s="1" t="str">
        <f>A2&amp;"1HT01"</f>
        <v>221841HT01</v>
      </c>
      <c r="E7" s="3">
        <f>F8</f>
        <v>0</v>
      </c>
      <c r="H7" s="1" t="str">
        <f>C9</f>
        <v>221842TT02</v>
      </c>
      <c r="I7" s="1" t="s">
        <v>5</v>
      </c>
    </row>
    <row r="8" spans="1:9" x14ac:dyDescent="0.25">
      <c r="D8" s="7" t="str">
        <f>"HOJA 1 TERMINADA DEL NUMERO DE PARTE "&amp;$A$2</f>
        <v>HOJA 1 TERMINADA DEL NUMERO DE PARTE 22184</v>
      </c>
      <c r="E8" s="5"/>
      <c r="F8" s="4"/>
      <c r="H8" s="1" t="str">
        <f>D10</f>
        <v>221842HT02</v>
      </c>
      <c r="I8" s="1" t="s">
        <v>6</v>
      </c>
    </row>
    <row r="9" spans="1:9" x14ac:dyDescent="0.25">
      <c r="C9" s="1" t="str">
        <f>A2&amp;"2TT02"</f>
        <v>221842TT02</v>
      </c>
      <c r="D9" s="3">
        <f>F11</f>
        <v>0</v>
      </c>
      <c r="H9" s="1" t="str">
        <f>C12</f>
        <v>221843TT03</v>
      </c>
      <c r="I9" s="1" t="s">
        <v>7</v>
      </c>
    </row>
    <row r="10" spans="1:9" x14ac:dyDescent="0.25">
      <c r="C10" s="7" t="str">
        <f>"HOJA 2 TEMPLADA DEL NUMERO DE PARTE "&amp;$A$2</f>
        <v>HOJA 2 TEMPLADA DEL NUMERO DE PARTE 22184</v>
      </c>
      <c r="D10" s="1" t="str">
        <f>A2&amp;"2HT02"</f>
        <v>221842HT02</v>
      </c>
      <c r="E10" s="3">
        <f>F11</f>
        <v>0</v>
      </c>
      <c r="H10" s="1" t="str">
        <f>D13</f>
        <v>221843HT03</v>
      </c>
      <c r="I10" s="1" t="s">
        <v>8</v>
      </c>
    </row>
    <row r="11" spans="1:9" x14ac:dyDescent="0.25">
      <c r="D11" s="7" t="str">
        <f>"HOJA 2 TERMINADA DEL NUMERO DE PARTE "&amp;$A$2</f>
        <v>HOJA 2 TERMINADA DEL NUMERO DE PARTE 22184</v>
      </c>
      <c r="E11" s="5"/>
      <c r="F11" s="4"/>
      <c r="H11" s="1" t="str">
        <f>C15</f>
        <v>221844TT04</v>
      </c>
      <c r="I11" s="1" t="s">
        <v>9</v>
      </c>
    </row>
    <row r="12" spans="1:9" x14ac:dyDescent="0.25">
      <c r="C12" s="1" t="str">
        <f>A2&amp;"3TT03"</f>
        <v>221843TT03</v>
      </c>
      <c r="D12" s="3">
        <f>F14</f>
        <v>0</v>
      </c>
      <c r="H12" s="1" t="str">
        <f>D16</f>
        <v>221844HT04</v>
      </c>
      <c r="I12" s="1" t="s">
        <v>10</v>
      </c>
    </row>
    <row r="13" spans="1:9" x14ac:dyDescent="0.25">
      <c r="C13" s="7" t="str">
        <f>"HOJA 3 TEMPLADA DEL NUMERO DE PARTE "&amp;$A$2</f>
        <v>HOJA 3 TEMPLADA DEL NUMERO DE PARTE 22184</v>
      </c>
      <c r="D13" s="1" t="str">
        <f>A2&amp;"3HT03"</f>
        <v>221843HT03</v>
      </c>
      <c r="E13" s="3">
        <f>F14</f>
        <v>0</v>
      </c>
      <c r="H13" s="1" t="str">
        <f>C18</f>
        <v>221845TT05</v>
      </c>
      <c r="I13" s="1" t="s">
        <v>11</v>
      </c>
    </row>
    <row r="14" spans="1:9" x14ac:dyDescent="0.25">
      <c r="D14" s="7" t="str">
        <f>"HOJA 3 TERMINADA DEL NUMERO DE PARTE "&amp;$A$2</f>
        <v>HOJA 3 TERMINADA DEL NUMERO DE PARTE 22184</v>
      </c>
      <c r="E14" s="5"/>
      <c r="F14" s="4"/>
      <c r="H14" s="1" t="str">
        <f>D19</f>
        <v>221845HT05</v>
      </c>
      <c r="I14" s="1" t="s">
        <v>12</v>
      </c>
    </row>
    <row r="15" spans="1:9" x14ac:dyDescent="0.25">
      <c r="C15" s="1" t="str">
        <f>A2&amp;"4TT04"</f>
        <v>221844TT04</v>
      </c>
      <c r="D15" s="3">
        <f>F17</f>
        <v>0</v>
      </c>
      <c r="H15" s="1" t="str">
        <f>C21</f>
        <v>221846TT06</v>
      </c>
      <c r="I15" s="1" t="s">
        <v>13</v>
      </c>
    </row>
    <row r="16" spans="1:9" x14ac:dyDescent="0.25">
      <c r="C16" s="7" t="str">
        <f>"HOJA 4 TEMPLADA DEL NUMERO DE PARTE "&amp;$A$2</f>
        <v>HOJA 4 TEMPLADA DEL NUMERO DE PARTE 22184</v>
      </c>
      <c r="D16" s="1" t="str">
        <f>A2&amp;"4HT04"</f>
        <v>221844HT04</v>
      </c>
      <c r="E16" s="3">
        <f>F17</f>
        <v>0</v>
      </c>
      <c r="H16" s="1" t="str">
        <f>D22</f>
        <v>221846HT06</v>
      </c>
      <c r="I16" s="1" t="s">
        <v>14</v>
      </c>
    </row>
    <row r="17" spans="3:9" x14ac:dyDescent="0.25">
      <c r="D17" s="7" t="str">
        <f>"HOJA 4 TERMINADA DEL NUMERO DE PARTE "&amp;$A$2</f>
        <v>HOJA 4 TERMINADA DEL NUMERO DE PARTE 22184</v>
      </c>
      <c r="E17" s="5"/>
      <c r="F17" s="4"/>
      <c r="H17" s="1" t="str">
        <f>C24</f>
        <v>221847TT07</v>
      </c>
      <c r="I17" s="1" t="s">
        <v>15</v>
      </c>
    </row>
    <row r="18" spans="3:9" x14ac:dyDescent="0.25">
      <c r="C18" s="1" t="str">
        <f>A2&amp;"5TT05"</f>
        <v>221845TT05</v>
      </c>
      <c r="D18" s="3">
        <f>F20</f>
        <v>0</v>
      </c>
      <c r="H18" s="1" t="str">
        <f>D25</f>
        <v>221847HT07</v>
      </c>
      <c r="I18" s="1" t="s">
        <v>16</v>
      </c>
    </row>
    <row r="19" spans="3:9" x14ac:dyDescent="0.25">
      <c r="C19" s="7" t="str">
        <f>"HOJA 5 TEMPLADA DEL NUMERO DE PARTE "&amp;$A$2</f>
        <v>HOJA 5 TEMPLADA DEL NUMERO DE PARTE 22184</v>
      </c>
      <c r="D19" s="1" t="str">
        <f>A2&amp;"5HT05"</f>
        <v>221845HT05</v>
      </c>
      <c r="E19" s="3">
        <f>F20</f>
        <v>0</v>
      </c>
      <c r="H19" s="1" t="str">
        <f>C27</f>
        <v>221848TT08</v>
      </c>
      <c r="I19" s="1" t="s">
        <v>17</v>
      </c>
    </row>
    <row r="20" spans="3:9" x14ac:dyDescent="0.25">
      <c r="D20" s="7" t="str">
        <f>"HOJA 5 TERMINADA DEL NUMERO DE PARTE "&amp;$A$2</f>
        <v>HOJA 5 TERMINADA DEL NUMERO DE PARTE 22184</v>
      </c>
      <c r="E20" s="5"/>
      <c r="F20" s="4"/>
      <c r="H20" s="1" t="str">
        <f>D28</f>
        <v>221848HT08</v>
      </c>
      <c r="I20" s="1" t="s">
        <v>18</v>
      </c>
    </row>
    <row r="21" spans="3:9" x14ac:dyDescent="0.25">
      <c r="C21" s="1" t="str">
        <f>A2&amp;"6TT06"</f>
        <v>221846TT06</v>
      </c>
      <c r="D21" s="3">
        <f>F23</f>
        <v>0</v>
      </c>
      <c r="H21" s="1" t="str">
        <f>C30</f>
        <v>221849TT09</v>
      </c>
      <c r="I21" s="1" t="s">
        <v>19</v>
      </c>
    </row>
    <row r="22" spans="3:9" x14ac:dyDescent="0.25">
      <c r="C22" s="7" t="str">
        <f>"HOJA 6 TEMPLADA DEL NUMERO DE PARTE "&amp;$A$2</f>
        <v>HOJA 6 TEMPLADA DEL NUMERO DE PARTE 22184</v>
      </c>
      <c r="D22" s="1" t="str">
        <f>A2&amp;"6HT06"</f>
        <v>221846HT06</v>
      </c>
      <c r="E22" s="3">
        <f>F23</f>
        <v>0</v>
      </c>
      <c r="H22" s="1" t="str">
        <f>D31</f>
        <v>221849HT09</v>
      </c>
      <c r="I22" s="1" t="s">
        <v>20</v>
      </c>
    </row>
    <row r="23" spans="3:9" x14ac:dyDescent="0.25">
      <c r="D23" s="7" t="str">
        <f>"HOJA 6 TERMINADA DEL NUMERO DE PARTE "&amp;$A$2</f>
        <v>HOJA 6 TERMINADA DEL NUMERO DE PARTE 22184</v>
      </c>
      <c r="E23" s="5"/>
      <c r="F23" s="4"/>
      <c r="H23" s="1" t="str">
        <f>C33</f>
        <v>2218410TT10</v>
      </c>
      <c r="I23" s="1" t="s">
        <v>21</v>
      </c>
    </row>
    <row r="24" spans="3:9" x14ac:dyDescent="0.25">
      <c r="C24" s="1" t="str">
        <f>A2&amp;"7TT07"</f>
        <v>221847TT07</v>
      </c>
      <c r="D24" s="3">
        <f>F26</f>
        <v>0</v>
      </c>
      <c r="H24" s="1" t="str">
        <f>D34</f>
        <v>2218410HT10</v>
      </c>
      <c r="I24" s="1" t="s">
        <v>22</v>
      </c>
    </row>
    <row r="25" spans="3:9" x14ac:dyDescent="0.25">
      <c r="C25" s="7" t="str">
        <f>"HOJA 7 TEMPLADA DEL NUMERO DE PARTE "&amp;$A$2</f>
        <v>HOJA 7 TEMPLADA DEL NUMERO DE PARTE 22184</v>
      </c>
      <c r="D25" s="1" t="str">
        <f>A2&amp;"7HT07"</f>
        <v>221847HT07</v>
      </c>
      <c r="E25" s="3">
        <f>F26</f>
        <v>0</v>
      </c>
      <c r="H25" s="1" t="str">
        <f>C36</f>
        <v>2218411TT11</v>
      </c>
      <c r="I25" s="1" t="s">
        <v>23</v>
      </c>
    </row>
    <row r="26" spans="3:9" x14ac:dyDescent="0.25">
      <c r="D26" s="7" t="str">
        <f>"HOJA 7 TERMINADA DEL NUMERO DE PARTE "&amp;$A$2</f>
        <v>HOJA 7 TERMINADA DEL NUMERO DE PARTE 22184</v>
      </c>
      <c r="E26" s="5"/>
      <c r="F26" s="4"/>
      <c r="H26" s="1" t="str">
        <f>D37</f>
        <v>2218411HT11</v>
      </c>
      <c r="I26" s="1" t="s">
        <v>24</v>
      </c>
    </row>
    <row r="27" spans="3:9" x14ac:dyDescent="0.25">
      <c r="C27" s="1" t="str">
        <f>A2&amp;"8TT08"</f>
        <v>221848TT08</v>
      </c>
      <c r="D27" s="3">
        <f>F29</f>
        <v>0</v>
      </c>
      <c r="H27" s="1" t="str">
        <f>C39</f>
        <v>2218412TT12</v>
      </c>
      <c r="I27" s="1" t="s">
        <v>25</v>
      </c>
    </row>
    <row r="28" spans="3:9" x14ac:dyDescent="0.25">
      <c r="C28" s="7" t="str">
        <f>"HOJA 8 TEMPLADA DEL NUMERO DE PARTE "&amp;$A$2</f>
        <v>HOJA 8 TEMPLADA DEL NUMERO DE PARTE 22184</v>
      </c>
      <c r="D28" s="1" t="str">
        <f>A2&amp;"8HT08"</f>
        <v>221848HT08</v>
      </c>
      <c r="E28" s="3">
        <f>F29</f>
        <v>0</v>
      </c>
      <c r="H28" s="1" t="str">
        <f>D40</f>
        <v>2218412HT12</v>
      </c>
      <c r="I28" s="1" t="s">
        <v>26</v>
      </c>
    </row>
    <row r="29" spans="3:9" x14ac:dyDescent="0.25">
      <c r="D29" s="7" t="str">
        <f>"HOJA 8 TERMINADA DEL NUMERO DE PARTE "&amp;$A$2</f>
        <v>HOJA 8 TERMINADA DEL NUMERO DE PARTE 22184</v>
      </c>
      <c r="E29" s="5"/>
      <c r="F29" s="4"/>
      <c r="H29" s="1" t="str">
        <f>C42</f>
        <v>2218413TT13</v>
      </c>
      <c r="I29" s="1" t="s">
        <v>27</v>
      </c>
    </row>
    <row r="30" spans="3:9" x14ac:dyDescent="0.25">
      <c r="C30" s="1" t="str">
        <f>A2&amp;"9TT09"</f>
        <v>221849TT09</v>
      </c>
      <c r="D30" s="3">
        <f>F32</f>
        <v>0</v>
      </c>
      <c r="H30" s="1" t="str">
        <f>D43</f>
        <v>2218413HT13</v>
      </c>
      <c r="I30" s="1" t="s">
        <v>28</v>
      </c>
    </row>
    <row r="31" spans="3:9" x14ac:dyDescent="0.25">
      <c r="C31" s="7" t="str">
        <f>"HOJA 9 TEMPLADA DEL NUMERO DE PARTE "&amp;$A$2</f>
        <v>HOJA 9 TEMPLADA DEL NUMERO DE PARTE 22184</v>
      </c>
      <c r="D31" s="1" t="str">
        <f>A2&amp;"9HT09"</f>
        <v>221849HT09</v>
      </c>
      <c r="E31" s="3">
        <f>F32</f>
        <v>0</v>
      </c>
      <c r="H31" s="1" t="str">
        <f>C45</f>
        <v>2218414TT14</v>
      </c>
      <c r="I31" s="1" t="s">
        <v>29</v>
      </c>
    </row>
    <row r="32" spans="3:9" x14ac:dyDescent="0.25">
      <c r="D32" s="7" t="str">
        <f>"HOJA 9 TERMINADA DEL NUMERO DE PARTE "&amp;$A$2</f>
        <v>HOJA 9 TERMINADA DEL NUMERO DE PARTE 22184</v>
      </c>
      <c r="E32" s="5"/>
      <c r="F32" s="4"/>
      <c r="H32" s="1" t="str">
        <f>D46</f>
        <v>2218414HT14</v>
      </c>
      <c r="I32" s="1" t="s">
        <v>30</v>
      </c>
    </row>
    <row r="33" spans="3:9" x14ac:dyDescent="0.25">
      <c r="C33" s="1" t="str">
        <f>A2&amp;"10TT10"</f>
        <v>2218410TT10</v>
      </c>
      <c r="D33" s="3">
        <f>F35</f>
        <v>0</v>
      </c>
      <c r="H33" s="1" t="str">
        <f>C48</f>
        <v>2218415TT15</v>
      </c>
      <c r="I33" s="1" t="s">
        <v>31</v>
      </c>
    </row>
    <row r="34" spans="3:9" x14ac:dyDescent="0.25">
      <c r="C34" s="7" t="str">
        <f>"HOJA 10 TEMPLADA DEL NUMERO DE PARTE "&amp;$A$2</f>
        <v>HOJA 10 TEMPLADA DEL NUMERO DE PARTE 22184</v>
      </c>
      <c r="D34" s="1" t="str">
        <f>A2&amp;"10HT10"</f>
        <v>2218410HT10</v>
      </c>
      <c r="E34" s="3">
        <f>F35</f>
        <v>0</v>
      </c>
      <c r="H34" s="1" t="str">
        <f>D49</f>
        <v>2218415HT15</v>
      </c>
      <c r="I34" s="1" t="s">
        <v>32</v>
      </c>
    </row>
    <row r="35" spans="3:9" x14ac:dyDescent="0.25">
      <c r="D35" s="7" t="str">
        <f>"HOJA 10 TERMINADA DEL NUMERO DE PARTE "&amp;$A$2</f>
        <v>HOJA 10 TERMINADA DEL NUMERO DE PARTE 22184</v>
      </c>
      <c r="E35" s="5"/>
      <c r="F35" s="4"/>
      <c r="H35" s="1" t="str">
        <f>C51</f>
        <v>2218416TT16</v>
      </c>
      <c r="I35" s="1" t="s">
        <v>33</v>
      </c>
    </row>
    <row r="36" spans="3:9" x14ac:dyDescent="0.25">
      <c r="C36" s="1" t="str">
        <f>A2&amp;"11TT11"</f>
        <v>2218411TT11</v>
      </c>
      <c r="D36" s="3">
        <f>F38</f>
        <v>0</v>
      </c>
      <c r="H36" s="1" t="str">
        <f>D52</f>
        <v>2218416HT16</v>
      </c>
      <c r="I36" s="1" t="s">
        <v>34</v>
      </c>
    </row>
    <row r="37" spans="3:9" x14ac:dyDescent="0.25">
      <c r="C37" s="7" t="str">
        <f>"HOJA 11 TEMPLADA DEL NUMERO DE PARTE "&amp;$A$2</f>
        <v>HOJA 11 TEMPLADA DEL NUMERO DE PARTE 22184</v>
      </c>
      <c r="D37" s="1" t="str">
        <f>A2&amp;"11HT11"</f>
        <v>2218411HT11</v>
      </c>
      <c r="E37" s="3">
        <f>F38</f>
        <v>0</v>
      </c>
      <c r="H37" s="1" t="str">
        <f>C54</f>
        <v>2218417TT17</v>
      </c>
      <c r="I37" s="1" t="s">
        <v>35</v>
      </c>
    </row>
    <row r="38" spans="3:9" x14ac:dyDescent="0.25">
      <c r="D38" s="7" t="str">
        <f>"HOJA 11 TERMINADA DEL NUMERO DE PARTE "&amp;$A$2</f>
        <v>HOJA 11 TERMINADA DEL NUMERO DE PARTE 22184</v>
      </c>
      <c r="E38" s="5"/>
      <c r="F38" s="4"/>
      <c r="H38" s="1" t="str">
        <f>D55</f>
        <v>2218417HT17</v>
      </c>
      <c r="I38" s="1" t="s">
        <v>36</v>
      </c>
    </row>
    <row r="39" spans="3:9" x14ac:dyDescent="0.25">
      <c r="C39" s="1" t="str">
        <f>$A$2&amp;"12TT12"</f>
        <v>2218412TT12</v>
      </c>
      <c r="D39" s="3">
        <f>F41</f>
        <v>0</v>
      </c>
      <c r="H39" s="1" t="str">
        <f>C57</f>
        <v>2218418TT18</v>
      </c>
      <c r="I39" s="1" t="s">
        <v>37</v>
      </c>
    </row>
    <row r="40" spans="3:9" x14ac:dyDescent="0.25">
      <c r="C40" s="7" t="str">
        <f>"HOJA 12 TEMPLADA DEL NUMERO DE PARTE "&amp;$A$2</f>
        <v>HOJA 12 TEMPLADA DEL NUMERO DE PARTE 22184</v>
      </c>
      <c r="D40" s="1" t="str">
        <f>$A$2&amp;"12HT12"</f>
        <v>2218412HT12</v>
      </c>
      <c r="E40" s="3">
        <f>F41</f>
        <v>0</v>
      </c>
      <c r="H40" s="1" t="str">
        <f>D58</f>
        <v>2218418HT18</v>
      </c>
      <c r="I40" s="1" t="s">
        <v>38</v>
      </c>
    </row>
    <row r="41" spans="3:9" x14ac:dyDescent="0.25">
      <c r="D41" s="7" t="str">
        <f>"HOJA 12 TERMINADA DEL NUMERO DE PARTE "&amp;$A$2</f>
        <v>HOJA 12 TERMINADA DEL NUMERO DE PARTE 22184</v>
      </c>
      <c r="E41" s="5"/>
      <c r="F41" s="4"/>
      <c r="H41" s="1" t="str">
        <f>C60</f>
        <v>2218419TT19</v>
      </c>
      <c r="I41" s="1" t="s">
        <v>39</v>
      </c>
    </row>
    <row r="42" spans="3:9" x14ac:dyDescent="0.25">
      <c r="C42" s="1" t="str">
        <f>$A$2&amp;"13TT13"</f>
        <v>2218413TT13</v>
      </c>
      <c r="D42" s="3">
        <f>F44</f>
        <v>0</v>
      </c>
      <c r="H42" s="1" t="str">
        <f>D61</f>
        <v>2218419HT19</v>
      </c>
      <c r="I42" s="1" t="s">
        <v>40</v>
      </c>
    </row>
    <row r="43" spans="3:9" x14ac:dyDescent="0.25">
      <c r="C43" s="7" t="str">
        <f>"HOJA 13 TEMPLADA DEL NUMERO DE PARTE "&amp;$A$2</f>
        <v>HOJA 13 TEMPLADA DEL NUMERO DE PARTE 22184</v>
      </c>
      <c r="D43" s="1" t="str">
        <f>$A$2&amp;"13HT13"</f>
        <v>2218413HT13</v>
      </c>
      <c r="E43" s="3">
        <f>F44</f>
        <v>0</v>
      </c>
      <c r="H43" s="1" t="str">
        <f>C63</f>
        <v>2218420TT20</v>
      </c>
      <c r="I43" s="1" t="s">
        <v>41</v>
      </c>
    </row>
    <row r="44" spans="3:9" x14ac:dyDescent="0.25">
      <c r="D44" s="7" t="str">
        <f>"HOJA 13 TERMINADA DEL NUMERO DE PARTE "&amp;$A$2</f>
        <v>HOJA 13 TERMINADA DEL NUMERO DE PARTE 22184</v>
      </c>
      <c r="E44" s="5"/>
      <c r="F44" s="4"/>
      <c r="H44" s="1" t="str">
        <f>D64</f>
        <v>2218420HT20</v>
      </c>
      <c r="I44" s="1" t="s">
        <v>42</v>
      </c>
    </row>
    <row r="45" spans="3:9" x14ac:dyDescent="0.25">
      <c r="C45" s="1" t="str">
        <f>$A$2&amp;"14TT14"</f>
        <v>2218414TT14</v>
      </c>
      <c r="D45" s="3">
        <f>F47</f>
        <v>0</v>
      </c>
    </row>
    <row r="46" spans="3:9" x14ac:dyDescent="0.25">
      <c r="C46" s="7" t="str">
        <f>"HOJA 14 TEMPLADA DEL NUMERO DE PARTE "&amp;$A$2</f>
        <v>HOJA 14 TEMPLADA DEL NUMERO DE PARTE 22184</v>
      </c>
      <c r="D46" s="1" t="str">
        <f>$A$2&amp;"14HT14"</f>
        <v>2218414HT14</v>
      </c>
      <c r="E46" s="3">
        <f>F47</f>
        <v>0</v>
      </c>
    </row>
    <row r="47" spans="3:9" x14ac:dyDescent="0.25">
      <c r="D47" s="7" t="str">
        <f>"HOJA 14 TERMINADA DEL NUMERO DE PARTE "&amp;$A$2</f>
        <v>HOJA 14 TERMINADA DEL NUMERO DE PARTE 22184</v>
      </c>
      <c r="E47" s="5"/>
      <c r="F47" s="4"/>
    </row>
    <row r="48" spans="3:9" x14ac:dyDescent="0.25">
      <c r="C48" s="1" t="str">
        <f>$A$2&amp;"15TT15"</f>
        <v>2218415TT15</v>
      </c>
      <c r="D48" s="3">
        <f>F50</f>
        <v>0</v>
      </c>
    </row>
    <row r="49" spans="3:6" x14ac:dyDescent="0.25">
      <c r="C49" s="7" t="str">
        <f>"HOJA 15 TEMPLADA DEL NUMERO DE PARTE "&amp;$A$2</f>
        <v>HOJA 15 TEMPLADA DEL NUMERO DE PARTE 22184</v>
      </c>
      <c r="D49" s="1" t="str">
        <f>$A$2&amp;"15HT15"</f>
        <v>2218415HT15</v>
      </c>
      <c r="E49" s="3">
        <f>F50</f>
        <v>0</v>
      </c>
    </row>
    <row r="50" spans="3:6" x14ac:dyDescent="0.25">
      <c r="D50" s="7" t="str">
        <f>"HOJA 15 TERMINADA DEL NUMERO DE PARTE "&amp;$A$2</f>
        <v>HOJA 15 TERMINADA DEL NUMERO DE PARTE 22184</v>
      </c>
      <c r="E50" s="5"/>
      <c r="F50" s="4"/>
    </row>
    <row r="51" spans="3:6" x14ac:dyDescent="0.25">
      <c r="C51" s="1" t="str">
        <f>$A$2&amp;"16TT16"</f>
        <v>2218416TT16</v>
      </c>
      <c r="D51" s="3">
        <f>F53</f>
        <v>0</v>
      </c>
    </row>
    <row r="52" spans="3:6" x14ac:dyDescent="0.25">
      <c r="C52" s="7" t="str">
        <f>"HOJA 16 TEMPLADA DEL NUMERO DE PARTE "&amp;$A$2</f>
        <v>HOJA 16 TEMPLADA DEL NUMERO DE PARTE 22184</v>
      </c>
      <c r="D52" s="1" t="str">
        <f>$A$2&amp;"16HT16"</f>
        <v>2218416HT16</v>
      </c>
      <c r="E52" s="3">
        <f>F53</f>
        <v>0</v>
      </c>
    </row>
    <row r="53" spans="3:6" x14ac:dyDescent="0.25">
      <c r="D53" s="7" t="str">
        <f>"HOJA 16 TERMINADA DEL NUMERO DE PARTE "&amp;$A$2</f>
        <v>HOJA 16 TERMINADA DEL NUMERO DE PARTE 22184</v>
      </c>
      <c r="E53" s="5"/>
      <c r="F53" s="4"/>
    </row>
    <row r="54" spans="3:6" x14ac:dyDescent="0.25">
      <c r="C54" s="1" t="str">
        <f>$A$2&amp;"17TT17"</f>
        <v>2218417TT17</v>
      </c>
      <c r="D54" s="3">
        <f>F56</f>
        <v>0</v>
      </c>
    </row>
    <row r="55" spans="3:6" x14ac:dyDescent="0.25">
      <c r="C55" s="7" t="str">
        <f>"HOJA 17 TEMPLADA DEL NUMERO DE PARTE "&amp;$A$2</f>
        <v>HOJA 17 TEMPLADA DEL NUMERO DE PARTE 22184</v>
      </c>
      <c r="D55" s="1" t="str">
        <f>$A$2&amp;"17HT17"</f>
        <v>2218417HT17</v>
      </c>
      <c r="E55" s="3">
        <f>F56</f>
        <v>0</v>
      </c>
    </row>
    <row r="56" spans="3:6" x14ac:dyDescent="0.25">
      <c r="D56" s="7" t="str">
        <f>"HOJA 17 TERMINADA DEL NUMERO DE PARTE "&amp;$A$2</f>
        <v>HOJA 17 TERMINADA DEL NUMERO DE PARTE 22184</v>
      </c>
      <c r="E56" s="5"/>
      <c r="F56" s="4"/>
    </row>
    <row r="57" spans="3:6" x14ac:dyDescent="0.25">
      <c r="C57" s="1" t="str">
        <f>$A$2&amp;"18TT18"</f>
        <v>2218418TT18</v>
      </c>
      <c r="D57" s="3">
        <f>F59</f>
        <v>0</v>
      </c>
    </row>
    <row r="58" spans="3:6" x14ac:dyDescent="0.25">
      <c r="C58" s="7" t="str">
        <f>"HOJA 18 TEMPLADA DEL NUMERO DE PARTE "&amp;$A$2</f>
        <v>HOJA 18 TEMPLADA DEL NUMERO DE PARTE 22184</v>
      </c>
      <c r="D58" s="1" t="str">
        <f>$A$2&amp;"18HT18"</f>
        <v>2218418HT18</v>
      </c>
      <c r="E58" s="3">
        <f>F59</f>
        <v>0</v>
      </c>
    </row>
    <row r="59" spans="3:6" x14ac:dyDescent="0.25">
      <c r="D59" s="7" t="str">
        <f>"HOJA 18 TERMINADA DEL NUMERO DE PARTE "&amp;$A$2</f>
        <v>HOJA 18 TERMINADA DEL NUMERO DE PARTE 22184</v>
      </c>
      <c r="E59" s="5"/>
      <c r="F59" s="4"/>
    </row>
    <row r="60" spans="3:6" x14ac:dyDescent="0.25">
      <c r="C60" s="1" t="str">
        <f>$A$2&amp;"19TT19"</f>
        <v>2218419TT19</v>
      </c>
      <c r="D60" s="3">
        <f>F62</f>
        <v>0</v>
      </c>
    </row>
    <row r="61" spans="3:6" x14ac:dyDescent="0.25">
      <c r="C61" s="7" t="str">
        <f>"HOJA 19 TEMPLADA DEL NUMERO DE PARTE "&amp;$A$2</f>
        <v>HOJA 19 TEMPLADA DEL NUMERO DE PARTE 22184</v>
      </c>
      <c r="D61" s="1" t="str">
        <f>$A$2&amp;"19HT19"</f>
        <v>2218419HT19</v>
      </c>
      <c r="E61" s="3">
        <f>F62</f>
        <v>0</v>
      </c>
    </row>
    <row r="62" spans="3:6" x14ac:dyDescent="0.25">
      <c r="D62" s="7" t="str">
        <f>"HOJA 19 TERMINADA DEL NUMERO DE PARTE "&amp;$A$2</f>
        <v>HOJA 19 TERMINADA DEL NUMERO DE PARTE 22184</v>
      </c>
      <c r="E62" s="5"/>
      <c r="F62" s="4"/>
    </row>
    <row r="63" spans="3:6" x14ac:dyDescent="0.25">
      <c r="C63" s="1" t="str">
        <f>$A$2&amp;"20TT20"</f>
        <v>2218420TT20</v>
      </c>
      <c r="D63" s="3">
        <f>F65</f>
        <v>0</v>
      </c>
    </row>
    <row r="64" spans="3:6" x14ac:dyDescent="0.25">
      <c r="C64" s="7" t="str">
        <f>"HOJA 20 TEMPLADA DEL NUMERO DE PARTE "&amp;$A$2</f>
        <v>HOJA 20 TEMPLADA DEL NUMERO DE PARTE 22184</v>
      </c>
      <c r="D64" s="1" t="str">
        <f>$A$2&amp;"20HT20"</f>
        <v>2218420HT20</v>
      </c>
      <c r="E64" s="3">
        <f>F65</f>
        <v>0</v>
      </c>
    </row>
    <row r="65" spans="4:6" x14ac:dyDescent="0.25">
      <c r="D65" s="7" t="str">
        <f>"HOJA 20 TERMINADA DEL NUMERO DE PARTE "&amp;$A$2</f>
        <v>HOJA 20 TERMINADA DEL NUMERO DE PARTE 22184</v>
      </c>
      <c r="E65" s="5"/>
      <c r="F6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15D3E-B304-4E5C-B536-2134D6C44FE4}">
  <dimension ref="A1:H229"/>
  <sheetViews>
    <sheetView showGridLines="0" workbookViewId="0">
      <pane ySplit="1" topLeftCell="A194" activePane="bottomLeft" state="frozen"/>
      <selection pane="bottomLeft" activeCell="A2" sqref="A2"/>
    </sheetView>
  </sheetViews>
  <sheetFormatPr baseColWidth="10" defaultColWidth="11.42578125" defaultRowHeight="15" x14ac:dyDescent="0.25"/>
  <cols>
    <col min="1" max="1" width="16.85546875" style="1" bestFit="1" customWidth="1"/>
    <col min="2" max="2" width="61.7109375" style="1" bestFit="1" customWidth="1"/>
    <col min="3" max="3" width="8" style="1" bestFit="1" customWidth="1"/>
    <col min="4" max="5" width="16.85546875" style="1" customWidth="1"/>
    <col min="6" max="6" width="16.5703125" style="1" customWidth="1"/>
    <col min="7" max="7" width="12.5703125" style="1" customWidth="1"/>
    <col min="8" max="8" width="13.7109375" style="1" customWidth="1"/>
    <col min="9" max="16384" width="11.42578125" style="1"/>
  </cols>
  <sheetData>
    <row r="1" spans="1:8" x14ac:dyDescent="0.25">
      <c r="A1" s="9" t="s">
        <v>43</v>
      </c>
      <c r="B1" s="9" t="s">
        <v>44</v>
      </c>
      <c r="C1" s="9" t="s">
        <v>45</v>
      </c>
      <c r="D1" s="9" t="s">
        <v>46</v>
      </c>
    </row>
    <row r="2" spans="1:8" x14ac:dyDescent="0.25">
      <c r="A2" s="10" t="s">
        <v>47</v>
      </c>
      <c r="B2" s="10" t="str">
        <f t="shared" ref="B2:B65" si="0">H2&amp;" "&amp;E2&amp;" "&amp;F2&amp;" "&amp;G2&amp;D2</f>
        <v>88962686022 AUTOMANN MEX MULTI LEAF SPRING 13511</v>
      </c>
      <c r="C2" s="10">
        <v>5.8810000000000002</v>
      </c>
      <c r="D2" s="10">
        <v>13511</v>
      </c>
      <c r="E2" s="1" t="s">
        <v>48</v>
      </c>
      <c r="F2" s="1" t="s">
        <v>49</v>
      </c>
      <c r="G2" s="1" t="s">
        <v>50</v>
      </c>
      <c r="H2" s="1">
        <v>88962686022</v>
      </c>
    </row>
    <row r="3" spans="1:8" x14ac:dyDescent="0.25">
      <c r="A3" s="10" t="s">
        <v>51</v>
      </c>
      <c r="B3" s="10" t="str">
        <f t="shared" si="0"/>
        <v>88962686079 AUTOMANN MEX MULTI LEAF SPRING 43503</v>
      </c>
      <c r="C3" s="10">
        <v>14.071999999999999</v>
      </c>
      <c r="D3" s="10">
        <v>43503</v>
      </c>
      <c r="E3" s="1" t="s">
        <v>48</v>
      </c>
      <c r="F3" s="1" t="s">
        <v>49</v>
      </c>
      <c r="G3" s="1" t="s">
        <v>50</v>
      </c>
      <c r="H3" s="1">
        <v>88962686079</v>
      </c>
    </row>
    <row r="4" spans="1:8" x14ac:dyDescent="0.25">
      <c r="A4" s="10" t="s">
        <v>52</v>
      </c>
      <c r="B4" s="10" t="str">
        <f t="shared" si="0"/>
        <v>88962686085 AUTOMANN MEX MULTI LEAF SPRING 44103</v>
      </c>
      <c r="C4" s="10">
        <v>9.7550000000000008</v>
      </c>
      <c r="D4" s="10">
        <v>44103</v>
      </c>
      <c r="E4" s="1" t="s">
        <v>48</v>
      </c>
      <c r="F4" s="1" t="s">
        <v>49</v>
      </c>
      <c r="G4" s="1" t="s">
        <v>50</v>
      </c>
      <c r="H4" s="1">
        <v>88962686085</v>
      </c>
    </row>
    <row r="5" spans="1:8" x14ac:dyDescent="0.25">
      <c r="A5" s="10" t="s">
        <v>53</v>
      </c>
      <c r="B5" s="10" t="str">
        <f t="shared" si="0"/>
        <v>88962686086 AUTOMANN MEX MULTI LEAF SPRING 44104</v>
      </c>
      <c r="C5" s="10">
        <v>8.4819999999999993</v>
      </c>
      <c r="D5" s="10">
        <v>44104</v>
      </c>
      <c r="E5" s="1" t="s">
        <v>48</v>
      </c>
      <c r="F5" s="1" t="s">
        <v>49</v>
      </c>
      <c r="G5" s="1" t="s">
        <v>50</v>
      </c>
      <c r="H5" s="1">
        <v>88962686086</v>
      </c>
    </row>
    <row r="6" spans="1:8" x14ac:dyDescent="0.25">
      <c r="A6" s="10" t="s">
        <v>54</v>
      </c>
      <c r="B6" s="10" t="str">
        <f t="shared" si="0"/>
        <v>88962686087 AUTOMANN MEX MULTI LEAF SPRING 44105</v>
      </c>
      <c r="C6" s="10">
        <v>7.2640000000000002</v>
      </c>
      <c r="D6" s="10">
        <v>44105</v>
      </c>
      <c r="E6" s="1" t="s">
        <v>48</v>
      </c>
      <c r="F6" s="1" t="s">
        <v>49</v>
      </c>
      <c r="G6" s="1" t="s">
        <v>50</v>
      </c>
      <c r="H6" s="1">
        <v>88962686087</v>
      </c>
    </row>
    <row r="7" spans="1:8" x14ac:dyDescent="0.25">
      <c r="A7" s="10" t="s">
        <v>55</v>
      </c>
      <c r="B7" s="10" t="str">
        <f t="shared" si="0"/>
        <v>88962686000 AUTOMANN MEX MULTI LEAF SPRING 45113</v>
      </c>
      <c r="C7" s="10">
        <v>6.0880000000000001</v>
      </c>
      <c r="D7" s="10">
        <v>45113</v>
      </c>
      <c r="E7" s="1" t="s">
        <v>48</v>
      </c>
      <c r="F7" s="1" t="s">
        <v>49</v>
      </c>
      <c r="G7" s="1" t="s">
        <v>50</v>
      </c>
      <c r="H7" s="1">
        <v>88962686000</v>
      </c>
    </row>
    <row r="8" spans="1:8" x14ac:dyDescent="0.25">
      <c r="A8" s="10" t="s">
        <v>56</v>
      </c>
      <c r="B8" s="10" t="str">
        <f t="shared" si="0"/>
        <v>88962686074 AUTOMANN MEX MULTI LEAF SPRING 81201</v>
      </c>
      <c r="C8" s="10">
        <v>10.787999999999998</v>
      </c>
      <c r="D8" s="10">
        <v>81201</v>
      </c>
      <c r="E8" s="1" t="s">
        <v>48</v>
      </c>
      <c r="F8" s="1" t="s">
        <v>49</v>
      </c>
      <c r="G8" s="1" t="s">
        <v>50</v>
      </c>
      <c r="H8" s="1">
        <v>88962686074</v>
      </c>
    </row>
    <row r="9" spans="1:8" x14ac:dyDescent="0.25">
      <c r="A9" s="10" t="s">
        <v>57</v>
      </c>
      <c r="B9" s="10" t="str">
        <f t="shared" si="0"/>
        <v>88962685985 AUTOMANN MEX TAPER LEAF SPRING 224921</v>
      </c>
      <c r="C9" s="10">
        <v>11.297000000000001</v>
      </c>
      <c r="D9" s="10">
        <v>224921</v>
      </c>
      <c r="E9" s="1" t="s">
        <v>48</v>
      </c>
      <c r="F9" s="1" t="s">
        <v>58</v>
      </c>
      <c r="G9" s="1" t="s">
        <v>50</v>
      </c>
      <c r="H9" s="1">
        <v>88962685985</v>
      </c>
    </row>
    <row r="10" spans="1:8" x14ac:dyDescent="0.25">
      <c r="A10" s="10" t="s">
        <v>59</v>
      </c>
      <c r="B10" s="10" t="str">
        <f t="shared" si="0"/>
        <v>88962686055 AUTOMANN MEX MULTI LEAF SPRING 396263</v>
      </c>
      <c r="C10" s="10">
        <v>11.760999999999999</v>
      </c>
      <c r="D10" s="10">
        <v>396263</v>
      </c>
      <c r="E10" s="1" t="s">
        <v>48</v>
      </c>
      <c r="F10" s="1" t="s">
        <v>49</v>
      </c>
      <c r="G10" s="1" t="s">
        <v>50</v>
      </c>
      <c r="H10" s="1">
        <v>88962686055</v>
      </c>
    </row>
    <row r="11" spans="1:8" x14ac:dyDescent="0.25">
      <c r="A11" s="10" t="s">
        <v>60</v>
      </c>
      <c r="B11" s="10" t="str">
        <f t="shared" si="0"/>
        <v>88962686105 AUTOMANN MEX TAPER LEAF SPRING 462203</v>
      </c>
      <c r="C11" s="10">
        <v>16.526</v>
      </c>
      <c r="D11" s="10">
        <v>462203</v>
      </c>
      <c r="E11" s="1" t="s">
        <v>48</v>
      </c>
      <c r="F11" s="1" t="s">
        <v>58</v>
      </c>
      <c r="G11" s="1" t="s">
        <v>50</v>
      </c>
      <c r="H11" s="1">
        <v>88962686105</v>
      </c>
    </row>
    <row r="12" spans="1:8" x14ac:dyDescent="0.25">
      <c r="A12" s="10" t="s">
        <v>61</v>
      </c>
      <c r="B12" s="10" t="str">
        <f t="shared" si="0"/>
        <v>88962686051 AUTOMANN MEX TAPER LEAF SPRING 711591</v>
      </c>
      <c r="C12" s="10">
        <v>10.285</v>
      </c>
      <c r="D12" s="10">
        <v>711591</v>
      </c>
      <c r="E12" s="1" t="s">
        <v>48</v>
      </c>
      <c r="F12" s="1" t="s">
        <v>58</v>
      </c>
      <c r="G12" s="1" t="s">
        <v>50</v>
      </c>
      <c r="H12" s="1">
        <v>88962686051</v>
      </c>
    </row>
    <row r="13" spans="1:8" x14ac:dyDescent="0.25">
      <c r="A13" s="10" t="s">
        <v>62</v>
      </c>
      <c r="B13" s="10" t="str">
        <f t="shared" si="0"/>
        <v>88962686031 AUTOMANN MEX MULTI LEAF SPRING 4611931</v>
      </c>
      <c r="C13" s="10">
        <v>13.840999999999999</v>
      </c>
      <c r="D13" s="10">
        <v>4611931</v>
      </c>
      <c r="E13" s="1" t="s">
        <v>48</v>
      </c>
      <c r="F13" s="1" t="s">
        <v>49</v>
      </c>
      <c r="G13" s="1" t="s">
        <v>50</v>
      </c>
      <c r="H13" s="1">
        <v>88962686031</v>
      </c>
    </row>
    <row r="14" spans="1:8" x14ac:dyDescent="0.25">
      <c r="A14" s="10" t="s">
        <v>63</v>
      </c>
      <c r="B14" s="10" t="str">
        <f t="shared" si="0"/>
        <v>88962685894 AUTOMANN MEX MULTI LEAF SPRING 9030049946</v>
      </c>
      <c r="C14" s="10">
        <v>8.6690000000000005</v>
      </c>
      <c r="D14" s="10">
        <v>9030049946</v>
      </c>
      <c r="E14" s="1" t="s">
        <v>48</v>
      </c>
      <c r="F14" s="1" t="s">
        <v>49</v>
      </c>
      <c r="G14" s="1" t="s">
        <v>50</v>
      </c>
      <c r="H14" s="1">
        <v>88962685894</v>
      </c>
    </row>
    <row r="15" spans="1:8" x14ac:dyDescent="0.25">
      <c r="A15" s="10" t="s">
        <v>64</v>
      </c>
      <c r="B15" s="10" t="str">
        <f t="shared" si="0"/>
        <v>88962685902 AUTOMANN MEX MULTI LEAF SPRING 13503R</v>
      </c>
      <c r="C15" s="10">
        <v>7.6369999999999996</v>
      </c>
      <c r="D15" s="10" t="s">
        <v>65</v>
      </c>
      <c r="E15" s="1" t="s">
        <v>48</v>
      </c>
      <c r="F15" s="1" t="s">
        <v>49</v>
      </c>
      <c r="G15" s="1" t="s">
        <v>50</v>
      </c>
      <c r="H15" s="1">
        <v>88962685902</v>
      </c>
    </row>
    <row r="16" spans="1:8" x14ac:dyDescent="0.25">
      <c r="A16" s="10" t="s">
        <v>66</v>
      </c>
      <c r="B16" s="10" t="str">
        <f t="shared" si="0"/>
        <v>88962685925 AUTOMANN MEX MULTI LEAF SPRING 13C301</v>
      </c>
      <c r="C16" s="10">
        <v>5.652000000000001</v>
      </c>
      <c r="D16" s="10" t="s">
        <v>67</v>
      </c>
      <c r="E16" s="1" t="s">
        <v>48</v>
      </c>
      <c r="F16" s="1" t="s">
        <v>49</v>
      </c>
      <c r="G16" s="1" t="s">
        <v>50</v>
      </c>
      <c r="H16" s="1">
        <v>88962685925</v>
      </c>
    </row>
    <row r="17" spans="1:8" x14ac:dyDescent="0.25">
      <c r="A17" s="10" t="s">
        <v>68</v>
      </c>
      <c r="B17" s="10" t="str">
        <f t="shared" si="0"/>
        <v>88962685926 AUTOMANN MEX MULTI LEAF SPRING 13C302</v>
      </c>
      <c r="C17" s="10">
        <v>4.0979999999999999</v>
      </c>
      <c r="D17" s="10" t="s">
        <v>69</v>
      </c>
      <c r="E17" s="1" t="s">
        <v>48</v>
      </c>
      <c r="F17" s="1" t="s">
        <v>49</v>
      </c>
      <c r="G17" s="1" t="s">
        <v>50</v>
      </c>
      <c r="H17" s="1">
        <v>88962685926</v>
      </c>
    </row>
    <row r="18" spans="1:8" x14ac:dyDescent="0.25">
      <c r="A18" s="10" t="s">
        <v>70</v>
      </c>
      <c r="B18" s="10" t="str">
        <f t="shared" si="0"/>
        <v>88962685927 AUTOMANN MEX MULTI LEAF SPRING 13C302D</v>
      </c>
      <c r="C18" s="10">
        <v>4.6360000000000001</v>
      </c>
      <c r="D18" s="10" t="s">
        <v>71</v>
      </c>
      <c r="E18" s="1" t="s">
        <v>48</v>
      </c>
      <c r="F18" s="1" t="s">
        <v>49</v>
      </c>
      <c r="G18" s="1" t="s">
        <v>50</v>
      </c>
      <c r="H18" s="1">
        <v>88962685927</v>
      </c>
    </row>
    <row r="19" spans="1:8" x14ac:dyDescent="0.25">
      <c r="A19" s="10" t="s">
        <v>72</v>
      </c>
      <c r="B19" s="10" t="str">
        <f t="shared" si="0"/>
        <v>88962685928 AUTOMANN MEX MULTI LEAF SPRING 13C303</v>
      </c>
      <c r="C19" s="10">
        <v>3.8540000000000001</v>
      </c>
      <c r="D19" s="10" t="s">
        <v>73</v>
      </c>
      <c r="E19" s="1" t="s">
        <v>48</v>
      </c>
      <c r="F19" s="1" t="s">
        <v>49</v>
      </c>
      <c r="G19" s="1" t="s">
        <v>50</v>
      </c>
      <c r="H19" s="1">
        <v>88962685928</v>
      </c>
    </row>
    <row r="20" spans="1:8" x14ac:dyDescent="0.25">
      <c r="A20" s="10" t="s">
        <v>74</v>
      </c>
      <c r="B20" s="10" t="str">
        <f t="shared" si="0"/>
        <v>88962685929 AUTOMANN MEX MULTI LEAF SPRING 13C304</v>
      </c>
      <c r="C20" s="10">
        <v>3.9729999999999999</v>
      </c>
      <c r="D20" s="10" t="s">
        <v>75</v>
      </c>
      <c r="E20" s="1" t="s">
        <v>48</v>
      </c>
      <c r="F20" s="1" t="s">
        <v>49</v>
      </c>
      <c r="G20" s="1" t="s">
        <v>50</v>
      </c>
      <c r="H20" s="1">
        <v>88962685929</v>
      </c>
    </row>
    <row r="21" spans="1:8" x14ac:dyDescent="0.25">
      <c r="A21" s="10" t="s">
        <v>76</v>
      </c>
      <c r="B21" s="10" t="str">
        <f t="shared" si="0"/>
        <v>88962685930 AUTOMANN MEX MULTI LEAF SPRING 13C305</v>
      </c>
      <c r="C21" s="10">
        <v>3.5979999999999994</v>
      </c>
      <c r="D21" s="10" t="s">
        <v>77</v>
      </c>
      <c r="E21" s="1" t="s">
        <v>48</v>
      </c>
      <c r="F21" s="1" t="s">
        <v>49</v>
      </c>
      <c r="G21" s="1" t="s">
        <v>50</v>
      </c>
      <c r="H21" s="1">
        <v>88962685930</v>
      </c>
    </row>
    <row r="22" spans="1:8" x14ac:dyDescent="0.25">
      <c r="A22" s="10" t="s">
        <v>78</v>
      </c>
      <c r="B22" s="10" t="str">
        <f t="shared" si="0"/>
        <v>88962685974 AUTOMANN MEX MULTI LEAF SPRING 13C301C</v>
      </c>
      <c r="C22" s="10">
        <v>6.8079999999999998</v>
      </c>
      <c r="D22" s="10" t="s">
        <v>79</v>
      </c>
      <c r="E22" s="1" t="s">
        <v>48</v>
      </c>
      <c r="F22" s="1" t="s">
        <v>49</v>
      </c>
      <c r="G22" s="1" t="s">
        <v>50</v>
      </c>
      <c r="H22" s="1">
        <v>88962685974</v>
      </c>
    </row>
    <row r="23" spans="1:8" x14ac:dyDescent="0.25">
      <c r="A23" s="10" t="s">
        <v>80</v>
      </c>
      <c r="B23" s="10" t="str">
        <f t="shared" si="0"/>
        <v>88962685975 AUTOMANN MEX MULTI LEAF SPRING 13C302C</v>
      </c>
      <c r="C23" s="10">
        <v>5.3310000000000004</v>
      </c>
      <c r="D23" s="10" t="s">
        <v>81</v>
      </c>
      <c r="E23" s="1" t="s">
        <v>48</v>
      </c>
      <c r="F23" s="1" t="s">
        <v>49</v>
      </c>
      <c r="G23" s="1" t="s">
        <v>50</v>
      </c>
      <c r="H23" s="1">
        <v>88962685975</v>
      </c>
    </row>
    <row r="24" spans="1:8" x14ac:dyDescent="0.25">
      <c r="A24" s="10" t="s">
        <v>82</v>
      </c>
      <c r="B24" s="10" t="str">
        <f t="shared" si="0"/>
        <v>88962685976 AUTOMANN MEX MULTI LEAF SPRING 13C302CD</v>
      </c>
      <c r="C24" s="10">
        <v>6.3929999999999998</v>
      </c>
      <c r="D24" s="10" t="s">
        <v>83</v>
      </c>
      <c r="E24" s="1" t="s">
        <v>48</v>
      </c>
      <c r="F24" s="1" t="s">
        <v>49</v>
      </c>
      <c r="G24" s="1" t="s">
        <v>50</v>
      </c>
      <c r="H24" s="1">
        <v>88962685976</v>
      </c>
    </row>
    <row r="25" spans="1:8" x14ac:dyDescent="0.25">
      <c r="A25" s="10" t="s">
        <v>84</v>
      </c>
      <c r="B25" s="10" t="str">
        <f t="shared" si="0"/>
        <v>88962685940 AUTOMANN MEX MULTI LEAF SPRING 13C371</v>
      </c>
      <c r="C25" s="10">
        <v>7.8269999999999991</v>
      </c>
      <c r="D25" s="10" t="s">
        <v>85</v>
      </c>
      <c r="E25" s="1" t="s">
        <v>48</v>
      </c>
      <c r="F25" s="1" t="s">
        <v>49</v>
      </c>
      <c r="G25" s="1" t="s">
        <v>50</v>
      </c>
      <c r="H25" s="1">
        <v>88962685940</v>
      </c>
    </row>
    <row r="26" spans="1:8" x14ac:dyDescent="0.25">
      <c r="A26" s="10" t="s">
        <v>86</v>
      </c>
      <c r="B26" s="10" t="str">
        <f t="shared" si="0"/>
        <v>88962685941 AUTOMANN MEX MULTI LEAF SPRING 13C372</v>
      </c>
      <c r="C26" s="10">
        <v>5.6580000000000004</v>
      </c>
      <c r="D26" s="10" t="s">
        <v>87</v>
      </c>
      <c r="E26" s="1" t="s">
        <v>48</v>
      </c>
      <c r="F26" s="1" t="s">
        <v>49</v>
      </c>
      <c r="G26" s="1" t="s">
        <v>50</v>
      </c>
      <c r="H26" s="1">
        <v>88962685941</v>
      </c>
    </row>
    <row r="27" spans="1:8" x14ac:dyDescent="0.25">
      <c r="A27" s="10" t="s">
        <v>88</v>
      </c>
      <c r="B27" s="10" t="str">
        <f t="shared" si="0"/>
        <v>88962685942 AUTOMANN MEX MULTI LEAF SPRING 13C372D</v>
      </c>
      <c r="C27" s="10">
        <v>7.1019999999999994</v>
      </c>
      <c r="D27" s="10" t="s">
        <v>89</v>
      </c>
      <c r="E27" s="1" t="s">
        <v>48</v>
      </c>
      <c r="F27" s="1" t="s">
        <v>49</v>
      </c>
      <c r="G27" s="1" t="s">
        <v>50</v>
      </c>
      <c r="H27" s="1">
        <v>88962685942</v>
      </c>
    </row>
    <row r="28" spans="1:8" x14ac:dyDescent="0.25">
      <c r="A28" s="10" t="s">
        <v>90</v>
      </c>
      <c r="B28" s="10" t="str">
        <f t="shared" si="0"/>
        <v>88962686030 AUTOMANN MEX MULTI LEAF SPRING 13C372AD</v>
      </c>
      <c r="C28" s="10">
        <v>7.617</v>
      </c>
      <c r="D28" s="10" t="s">
        <v>91</v>
      </c>
      <c r="E28" s="1" t="s">
        <v>48</v>
      </c>
      <c r="F28" s="1" t="s">
        <v>49</v>
      </c>
      <c r="G28" s="1" t="s">
        <v>50</v>
      </c>
      <c r="H28" s="1">
        <v>88962686030</v>
      </c>
    </row>
    <row r="29" spans="1:8" x14ac:dyDescent="0.25">
      <c r="A29" s="10" t="s">
        <v>92</v>
      </c>
      <c r="B29" s="10" t="str">
        <f t="shared" si="0"/>
        <v>88962686172 AUTOMANN MEX MULTI LEAF SPRING 13C421A</v>
      </c>
      <c r="C29" s="10">
        <v>7.9820000000000002</v>
      </c>
      <c r="D29" s="10" t="s">
        <v>93</v>
      </c>
      <c r="E29" s="1" t="s">
        <v>48</v>
      </c>
      <c r="F29" s="1" t="s">
        <v>49</v>
      </c>
      <c r="G29" s="1" t="s">
        <v>50</v>
      </c>
      <c r="H29" s="1">
        <v>88962686172</v>
      </c>
    </row>
    <row r="30" spans="1:8" x14ac:dyDescent="0.25">
      <c r="A30" s="10" t="s">
        <v>94</v>
      </c>
      <c r="B30" s="10" t="str">
        <f t="shared" si="0"/>
        <v>88962685961 AUTOMANN MEX MULTI LEAF SPRING 23C262D</v>
      </c>
      <c r="C30" s="10">
        <v>5.5949999999999998</v>
      </c>
      <c r="D30" s="10" t="s">
        <v>95</v>
      </c>
      <c r="E30" s="1" t="s">
        <v>48</v>
      </c>
      <c r="F30" s="1" t="s">
        <v>49</v>
      </c>
      <c r="G30" s="1" t="s">
        <v>50</v>
      </c>
      <c r="H30" s="1">
        <v>88962685961</v>
      </c>
    </row>
    <row r="31" spans="1:8" x14ac:dyDescent="0.25">
      <c r="A31" s="10" t="s">
        <v>96</v>
      </c>
      <c r="B31" s="10" t="str">
        <f t="shared" si="0"/>
        <v>88962685964 AUTOMANN MEX MULTI LEAF SPRING 23C361G</v>
      </c>
      <c r="C31" s="10">
        <v>5.7309999999999999</v>
      </c>
      <c r="D31" s="10" t="s">
        <v>97</v>
      </c>
      <c r="E31" s="1" t="s">
        <v>48</v>
      </c>
      <c r="F31" s="1" t="s">
        <v>49</v>
      </c>
      <c r="G31" s="1" t="s">
        <v>50</v>
      </c>
      <c r="H31" s="1">
        <v>88962685964</v>
      </c>
    </row>
    <row r="32" spans="1:8" x14ac:dyDescent="0.25">
      <c r="A32" s="10" t="s">
        <v>98</v>
      </c>
      <c r="B32" s="10" t="str">
        <f t="shared" si="0"/>
        <v>88962685965 AUTOMANN MEX MULTI LEAF SPRING 23C362GD</v>
      </c>
      <c r="C32" s="10">
        <v>5.5570000000000004</v>
      </c>
      <c r="D32" s="10" t="s">
        <v>99</v>
      </c>
      <c r="E32" s="1" t="s">
        <v>48</v>
      </c>
      <c r="F32" s="1" t="s">
        <v>49</v>
      </c>
      <c r="G32" s="1" t="s">
        <v>50</v>
      </c>
      <c r="H32" s="1">
        <v>88962685965</v>
      </c>
    </row>
    <row r="33" spans="1:8" x14ac:dyDescent="0.25">
      <c r="A33" s="10" t="s">
        <v>100</v>
      </c>
      <c r="B33" s="10" t="str">
        <f t="shared" si="0"/>
        <v>88962685969 AUTOMANN MEX MULTI LEAF SPRING 23C362</v>
      </c>
      <c r="C33" s="10">
        <v>4.9210000000000003</v>
      </c>
      <c r="D33" s="10" t="s">
        <v>101</v>
      </c>
      <c r="E33" s="1" t="s">
        <v>48</v>
      </c>
      <c r="F33" s="1" t="s">
        <v>49</v>
      </c>
      <c r="G33" s="1" t="s">
        <v>50</v>
      </c>
      <c r="H33" s="1">
        <v>88962685969</v>
      </c>
    </row>
    <row r="34" spans="1:8" x14ac:dyDescent="0.25">
      <c r="A34" s="10" t="s">
        <v>102</v>
      </c>
      <c r="B34" s="10" t="str">
        <f t="shared" si="0"/>
        <v>88962685971 AUTOMANN MEX MULTI LEAF SPRING 23C363</v>
      </c>
      <c r="C34" s="10">
        <v>4.6459999999999999</v>
      </c>
      <c r="D34" s="10" t="s">
        <v>103</v>
      </c>
      <c r="E34" s="1" t="s">
        <v>48</v>
      </c>
      <c r="F34" s="1" t="s">
        <v>49</v>
      </c>
      <c r="G34" s="1" t="s">
        <v>50</v>
      </c>
      <c r="H34" s="1">
        <v>88962685971</v>
      </c>
    </row>
    <row r="35" spans="1:8" x14ac:dyDescent="0.25">
      <c r="A35" s="10" t="s">
        <v>104</v>
      </c>
      <c r="B35" s="10" t="str">
        <f t="shared" si="0"/>
        <v>88962685972 AUTOMANN MEX MULTI LEAF SPRING 23C364</v>
      </c>
      <c r="C35" s="10">
        <v>4.2960000000000003</v>
      </c>
      <c r="D35" s="10" t="s">
        <v>105</v>
      </c>
      <c r="E35" s="1" t="s">
        <v>48</v>
      </c>
      <c r="F35" s="1" t="s">
        <v>49</v>
      </c>
      <c r="G35" s="1" t="s">
        <v>50</v>
      </c>
      <c r="H35" s="1">
        <v>88962685972</v>
      </c>
    </row>
    <row r="36" spans="1:8" x14ac:dyDescent="0.25">
      <c r="A36" s="10" t="s">
        <v>106</v>
      </c>
      <c r="B36" s="10" t="str">
        <f t="shared" si="0"/>
        <v>88962685973 AUTOMANN MEX MULTI LEAF SPRING 23C365</v>
      </c>
      <c r="C36" s="10">
        <v>4.0460000000000003</v>
      </c>
      <c r="D36" s="10" t="s">
        <v>107</v>
      </c>
      <c r="E36" s="1" t="s">
        <v>48</v>
      </c>
      <c r="F36" s="1" t="s">
        <v>49</v>
      </c>
      <c r="G36" s="1" t="s">
        <v>50</v>
      </c>
      <c r="H36" s="1">
        <v>88962685973</v>
      </c>
    </row>
    <row r="37" spans="1:8" x14ac:dyDescent="0.25">
      <c r="A37" s="10" t="s">
        <v>108</v>
      </c>
      <c r="B37" s="10" t="str">
        <f t="shared" si="0"/>
        <v>88962685962 AUTOMANN MEX MULTI LEAF SPRING 23C363B</v>
      </c>
      <c r="C37" s="10">
        <v>4.242</v>
      </c>
      <c r="D37" s="10" t="s">
        <v>109</v>
      </c>
      <c r="E37" s="1" t="s">
        <v>48</v>
      </c>
      <c r="F37" s="1" t="s">
        <v>49</v>
      </c>
      <c r="G37" s="1" t="s">
        <v>50</v>
      </c>
      <c r="H37" s="1">
        <v>88962685962</v>
      </c>
    </row>
    <row r="38" spans="1:8" x14ac:dyDescent="0.25">
      <c r="A38" s="10" t="s">
        <v>110</v>
      </c>
      <c r="B38" s="10" t="str">
        <f t="shared" si="0"/>
        <v>88962686163 AUTOMANN MEX MULTI LEAF SPRING 23C372S</v>
      </c>
      <c r="C38" s="10">
        <v>5.492</v>
      </c>
      <c r="D38" s="10" t="s">
        <v>111</v>
      </c>
      <c r="E38" s="1" t="s">
        <v>48</v>
      </c>
      <c r="F38" s="1" t="s">
        <v>49</v>
      </c>
      <c r="G38" s="1" t="s">
        <v>50</v>
      </c>
      <c r="H38" s="1">
        <v>88962686163</v>
      </c>
    </row>
    <row r="39" spans="1:8" x14ac:dyDescent="0.25">
      <c r="A39" s="10" t="s">
        <v>112</v>
      </c>
      <c r="B39" s="10" t="str">
        <f t="shared" si="0"/>
        <v>88962685944 AUTOMANN MEX MULTI LEAF SPRING 23C402</v>
      </c>
      <c r="C39" s="10">
        <v>6.2480000000000002</v>
      </c>
      <c r="D39" s="10" t="s">
        <v>113</v>
      </c>
      <c r="E39" s="1" t="s">
        <v>48</v>
      </c>
      <c r="F39" s="1" t="s">
        <v>49</v>
      </c>
      <c r="G39" s="1" t="s">
        <v>50</v>
      </c>
      <c r="H39" s="1">
        <v>88962685944</v>
      </c>
    </row>
    <row r="40" spans="1:8" x14ac:dyDescent="0.25">
      <c r="A40" s="10" t="s">
        <v>114</v>
      </c>
      <c r="B40" s="10" t="str">
        <f t="shared" si="0"/>
        <v>88962685946 AUTOMANN MEX MULTI LEAF SPRING 23C403</v>
      </c>
      <c r="C40" s="10">
        <v>5.6239999999999997</v>
      </c>
      <c r="D40" s="10" t="s">
        <v>115</v>
      </c>
      <c r="E40" s="1" t="s">
        <v>48</v>
      </c>
      <c r="F40" s="1" t="s">
        <v>49</v>
      </c>
      <c r="G40" s="1" t="s">
        <v>50</v>
      </c>
      <c r="H40" s="1">
        <v>88962685946</v>
      </c>
    </row>
    <row r="41" spans="1:8" x14ac:dyDescent="0.25">
      <c r="A41" s="10" t="s">
        <v>116</v>
      </c>
      <c r="B41" s="10" t="str">
        <f t="shared" si="0"/>
        <v>88962685945 AUTOMANN MEX MULTI LEAF SPRING 23C402AD</v>
      </c>
      <c r="C41" s="10">
        <v>7.6280000000000001</v>
      </c>
      <c r="D41" s="10" t="s">
        <v>117</v>
      </c>
      <c r="E41" s="1" t="s">
        <v>48</v>
      </c>
      <c r="F41" s="1" t="s">
        <v>49</v>
      </c>
      <c r="G41" s="1" t="s">
        <v>50</v>
      </c>
      <c r="H41" s="1">
        <v>88962685945</v>
      </c>
    </row>
    <row r="42" spans="1:8" x14ac:dyDescent="0.25">
      <c r="A42" s="10" t="s">
        <v>118</v>
      </c>
      <c r="B42" s="10" t="str">
        <f t="shared" si="0"/>
        <v>88962685936 AUTOMANN MEX MULTI LEAF SPRING 23C402FD</v>
      </c>
      <c r="C42" s="10">
        <v>9.7330000000000005</v>
      </c>
      <c r="D42" s="10" t="s">
        <v>119</v>
      </c>
      <c r="E42" s="1" t="s">
        <v>48</v>
      </c>
      <c r="F42" s="1" t="s">
        <v>49</v>
      </c>
      <c r="G42" s="1" t="s">
        <v>50</v>
      </c>
      <c r="H42" s="1">
        <v>88962685936</v>
      </c>
    </row>
    <row r="43" spans="1:8" x14ac:dyDescent="0.25">
      <c r="A43" s="10" t="s">
        <v>120</v>
      </c>
      <c r="B43" s="10" t="str">
        <f t="shared" si="0"/>
        <v>88962685948 AUTOMANN MEX MULTI LEAF SPRING 23C401M</v>
      </c>
      <c r="C43" s="10">
        <v>9.2850000000000001</v>
      </c>
      <c r="D43" s="10" t="s">
        <v>121</v>
      </c>
      <c r="E43" s="1" t="s">
        <v>48</v>
      </c>
      <c r="F43" s="1" t="s">
        <v>49</v>
      </c>
      <c r="G43" s="1" t="s">
        <v>50</v>
      </c>
      <c r="H43" s="1">
        <v>88962685948</v>
      </c>
    </row>
    <row r="44" spans="1:8" x14ac:dyDescent="0.25">
      <c r="A44" s="10" t="s">
        <v>122</v>
      </c>
      <c r="B44" s="10" t="str">
        <f t="shared" si="0"/>
        <v>88962685949 AUTOMANN MEX MULTI LEAF SPRING 23C402M</v>
      </c>
      <c r="C44" s="10">
        <v>7.335</v>
      </c>
      <c r="D44" s="10" t="s">
        <v>123</v>
      </c>
      <c r="E44" s="1" t="s">
        <v>48</v>
      </c>
      <c r="F44" s="1" t="s">
        <v>49</v>
      </c>
      <c r="G44" s="1" t="s">
        <v>50</v>
      </c>
      <c r="H44" s="1">
        <v>88962685949</v>
      </c>
    </row>
    <row r="45" spans="1:8" x14ac:dyDescent="0.25">
      <c r="A45" s="10" t="s">
        <v>124</v>
      </c>
      <c r="B45" s="10" t="str">
        <f t="shared" si="0"/>
        <v>88962685950 AUTOMANN MEX MULTI LEAF SPRING 23C402MD</v>
      </c>
      <c r="C45" s="10">
        <v>8.5449999999999999</v>
      </c>
      <c r="D45" s="10" t="s">
        <v>125</v>
      </c>
      <c r="E45" s="1" t="s">
        <v>48</v>
      </c>
      <c r="F45" s="1" t="s">
        <v>49</v>
      </c>
      <c r="G45" s="1" t="s">
        <v>50</v>
      </c>
      <c r="H45" s="1">
        <v>88962685950</v>
      </c>
    </row>
    <row r="46" spans="1:8" x14ac:dyDescent="0.25">
      <c r="A46" s="10" t="s">
        <v>126</v>
      </c>
      <c r="B46" s="10" t="str">
        <f t="shared" si="0"/>
        <v>88962685951 AUTOMANN MEX MULTI LEAF SPRING 23C403M</v>
      </c>
      <c r="C46" s="10">
        <v>6.5990000000000002</v>
      </c>
      <c r="D46" s="10" t="s">
        <v>127</v>
      </c>
      <c r="E46" s="1" t="s">
        <v>48</v>
      </c>
      <c r="F46" s="1" t="s">
        <v>49</v>
      </c>
      <c r="G46" s="1" t="s">
        <v>50</v>
      </c>
      <c r="H46" s="1">
        <v>88962685951</v>
      </c>
    </row>
    <row r="47" spans="1:8" x14ac:dyDescent="0.25">
      <c r="A47" s="10" t="s">
        <v>128</v>
      </c>
      <c r="B47" s="10" t="str">
        <f t="shared" si="0"/>
        <v>88962685987 AUTOMANN MEX TAPER LEAF SPRING 23C501VN</v>
      </c>
      <c r="C47" s="10">
        <v>11.496</v>
      </c>
      <c r="D47" s="10" t="s">
        <v>129</v>
      </c>
      <c r="E47" s="1" t="s">
        <v>48</v>
      </c>
      <c r="F47" s="1" t="s">
        <v>58</v>
      </c>
      <c r="G47" s="1" t="s">
        <v>50</v>
      </c>
      <c r="H47" s="1">
        <v>88962685987</v>
      </c>
    </row>
    <row r="48" spans="1:8" x14ac:dyDescent="0.25">
      <c r="A48" s="10" t="s">
        <v>130</v>
      </c>
      <c r="B48" s="10" t="str">
        <f t="shared" si="0"/>
        <v>88962685988 AUTOMANN MEX TAPER LEAF SPRING 23C502DVN</v>
      </c>
      <c r="C48" s="10">
        <v>10.029999999999999</v>
      </c>
      <c r="D48" s="10" t="s">
        <v>131</v>
      </c>
      <c r="E48" s="1" t="s">
        <v>48</v>
      </c>
      <c r="F48" s="1" t="s">
        <v>58</v>
      </c>
      <c r="G48" s="1" t="s">
        <v>50</v>
      </c>
      <c r="H48" s="1">
        <v>88962685988</v>
      </c>
    </row>
    <row r="49" spans="1:8" x14ac:dyDescent="0.25">
      <c r="A49" s="10" t="s">
        <v>132</v>
      </c>
      <c r="B49" s="10" t="str">
        <f t="shared" si="0"/>
        <v>88962685989 AUTOMANN MEX TAPER LEAF SPRING 23C502VN</v>
      </c>
      <c r="C49" s="10">
        <v>8.5630000000000006</v>
      </c>
      <c r="D49" s="10" t="s">
        <v>133</v>
      </c>
      <c r="E49" s="1" t="s">
        <v>48</v>
      </c>
      <c r="F49" s="1" t="s">
        <v>58</v>
      </c>
      <c r="G49" s="1" t="s">
        <v>50</v>
      </c>
      <c r="H49" s="1">
        <v>88962685989</v>
      </c>
    </row>
    <row r="50" spans="1:8" x14ac:dyDescent="0.25">
      <c r="A50" s="10" t="s">
        <v>134</v>
      </c>
      <c r="B50" s="10" t="str">
        <f t="shared" si="0"/>
        <v>88962685903 AUTOMANN MEX MULTI LEAF SPRING 33342A</v>
      </c>
      <c r="C50" s="10">
        <v>8.5329999999999995</v>
      </c>
      <c r="D50" s="10" t="s">
        <v>135</v>
      </c>
      <c r="E50" s="1" t="s">
        <v>48</v>
      </c>
      <c r="F50" s="1" t="s">
        <v>49</v>
      </c>
      <c r="G50" s="1" t="s">
        <v>50</v>
      </c>
      <c r="H50" s="1">
        <v>88962685903</v>
      </c>
    </row>
    <row r="51" spans="1:8" x14ac:dyDescent="0.25">
      <c r="A51" s="10" t="s">
        <v>136</v>
      </c>
      <c r="B51" s="10" t="str">
        <f t="shared" si="0"/>
        <v>88962686029 AUTOMANN MEX MULTI LEAF SPRING 33C560A2D</v>
      </c>
      <c r="C51" s="10">
        <v>12.696999999999999</v>
      </c>
      <c r="D51" s="10" t="s">
        <v>137</v>
      </c>
      <c r="E51" s="1" t="s">
        <v>48</v>
      </c>
      <c r="F51" s="1" t="s">
        <v>49</v>
      </c>
      <c r="G51" s="1" t="s">
        <v>50</v>
      </c>
      <c r="H51" s="1">
        <v>88962686029</v>
      </c>
    </row>
    <row r="52" spans="1:8" x14ac:dyDescent="0.25">
      <c r="A52" s="10" t="s">
        <v>138</v>
      </c>
      <c r="B52" s="10" t="str">
        <f t="shared" si="0"/>
        <v>88962685986 AUTOMANN MEX TAPER LEAF SPRING 33C620C1</v>
      </c>
      <c r="C52" s="10">
        <v>11.898</v>
      </c>
      <c r="D52" s="10" t="s">
        <v>139</v>
      </c>
      <c r="E52" s="1" t="s">
        <v>48</v>
      </c>
      <c r="F52" s="1" t="s">
        <v>58</v>
      </c>
      <c r="G52" s="1" t="s">
        <v>50</v>
      </c>
      <c r="H52" s="1">
        <v>88962685986</v>
      </c>
    </row>
    <row r="53" spans="1:8" x14ac:dyDescent="0.25">
      <c r="A53" s="10" t="s">
        <v>140</v>
      </c>
      <c r="B53" s="10" t="str">
        <f t="shared" si="0"/>
        <v>88962686057 AUTOMANN MEX MULTI LEAF SPRING 396261BJ</v>
      </c>
      <c r="C53" s="10">
        <v>17.84</v>
      </c>
      <c r="D53" s="10" t="s">
        <v>141</v>
      </c>
      <c r="E53" s="1" t="s">
        <v>48</v>
      </c>
      <c r="F53" s="1" t="s">
        <v>49</v>
      </c>
      <c r="G53" s="1" t="s">
        <v>50</v>
      </c>
      <c r="H53" s="1">
        <v>88962686057</v>
      </c>
    </row>
    <row r="54" spans="1:8" x14ac:dyDescent="0.25">
      <c r="A54" s="10" t="s">
        <v>142</v>
      </c>
      <c r="B54" s="10" t="str">
        <f t="shared" si="0"/>
        <v>88962686083 AUTOMANN MEX MULTI LEAF SPRING 44101BJ</v>
      </c>
      <c r="C54" s="10">
        <v>12.738</v>
      </c>
      <c r="D54" s="10" t="s">
        <v>143</v>
      </c>
      <c r="E54" s="1" t="s">
        <v>48</v>
      </c>
      <c r="F54" s="1" t="s">
        <v>49</v>
      </c>
      <c r="G54" s="1" t="s">
        <v>50</v>
      </c>
      <c r="H54" s="1">
        <v>88962686083</v>
      </c>
    </row>
    <row r="55" spans="1:8" x14ac:dyDescent="0.25">
      <c r="A55" s="10" t="s">
        <v>144</v>
      </c>
      <c r="B55" s="10" t="str">
        <f t="shared" si="0"/>
        <v>88962686084 AUTOMANN MEX MULTI LEAF SPRING 44102D</v>
      </c>
      <c r="C55" s="10">
        <v>12.115</v>
      </c>
      <c r="D55" s="10" t="s">
        <v>145</v>
      </c>
      <c r="E55" s="1" t="s">
        <v>48</v>
      </c>
      <c r="F55" s="1" t="s">
        <v>49</v>
      </c>
      <c r="G55" s="1" t="s">
        <v>50</v>
      </c>
      <c r="H55" s="1">
        <v>88962686084</v>
      </c>
    </row>
    <row r="56" spans="1:8" x14ac:dyDescent="0.25">
      <c r="A56" s="10" t="s">
        <v>146</v>
      </c>
      <c r="B56" s="10" t="str">
        <f t="shared" si="0"/>
        <v>88962686095 AUTOMANN MEX MULTI LEAF SPRING 44142F</v>
      </c>
      <c r="C56" s="10">
        <v>15.218</v>
      </c>
      <c r="D56" s="10" t="s">
        <v>147</v>
      </c>
      <c r="E56" s="1" t="s">
        <v>48</v>
      </c>
      <c r="F56" s="1" t="s">
        <v>49</v>
      </c>
      <c r="G56" s="1" t="s">
        <v>50</v>
      </c>
      <c r="H56" s="1">
        <v>88962686095</v>
      </c>
    </row>
    <row r="57" spans="1:8" x14ac:dyDescent="0.25">
      <c r="A57" s="10" t="s">
        <v>148</v>
      </c>
      <c r="B57" s="10" t="str">
        <f t="shared" si="0"/>
        <v>88962686096 AUTOMANN MEX MULTI LEAF SPRING 44143G</v>
      </c>
      <c r="C57" s="10">
        <v>11.084</v>
      </c>
      <c r="D57" s="10" t="s">
        <v>149</v>
      </c>
      <c r="E57" s="1" t="s">
        <v>48</v>
      </c>
      <c r="F57" s="1" t="s">
        <v>49</v>
      </c>
      <c r="G57" s="1" t="s">
        <v>50</v>
      </c>
      <c r="H57" s="1">
        <v>88962686096</v>
      </c>
    </row>
    <row r="58" spans="1:8" x14ac:dyDescent="0.25">
      <c r="A58" s="10" t="s">
        <v>150</v>
      </c>
      <c r="B58" s="10" t="str">
        <f t="shared" si="0"/>
        <v>88962686179 AUTOMANN MEX TAPER LEAF SPRING 44300LO2</v>
      </c>
      <c r="C58" s="10">
        <v>12.843</v>
      </c>
      <c r="D58" s="10" t="s">
        <v>151</v>
      </c>
      <c r="E58" s="1" t="s">
        <v>48</v>
      </c>
      <c r="F58" s="1" t="s">
        <v>58</v>
      </c>
      <c r="G58" s="1" t="s">
        <v>50</v>
      </c>
      <c r="H58" s="1">
        <v>88962686179</v>
      </c>
    </row>
    <row r="59" spans="1:8" x14ac:dyDescent="0.25">
      <c r="A59" s="10" t="s">
        <v>152</v>
      </c>
      <c r="B59" s="10" t="str">
        <f t="shared" si="0"/>
        <v>88962686035 AUTOMANN MEX MULTI LEAF SPRING 45102CR</v>
      </c>
      <c r="C59" s="10">
        <v>11.984</v>
      </c>
      <c r="D59" s="10" t="s">
        <v>153</v>
      </c>
      <c r="E59" s="1" t="s">
        <v>48</v>
      </c>
      <c r="F59" s="1" t="s">
        <v>49</v>
      </c>
      <c r="G59" s="1" t="s">
        <v>50</v>
      </c>
      <c r="H59" s="1">
        <v>88962686035</v>
      </c>
    </row>
    <row r="60" spans="1:8" x14ac:dyDescent="0.25">
      <c r="A60" s="10" t="s">
        <v>154</v>
      </c>
      <c r="B60" s="10" t="str">
        <f t="shared" si="0"/>
        <v>88962685981 AUTOMANN MEX MULTI LEAF SPRING 45170H1</v>
      </c>
      <c r="C60" s="10">
        <v>12.767000000000001</v>
      </c>
      <c r="D60" s="10" t="s">
        <v>155</v>
      </c>
      <c r="E60" s="1" t="s">
        <v>48</v>
      </c>
      <c r="F60" s="1" t="s">
        <v>49</v>
      </c>
      <c r="G60" s="1" t="s">
        <v>50</v>
      </c>
      <c r="H60" s="1">
        <v>88962685981</v>
      </c>
    </row>
    <row r="61" spans="1:8" x14ac:dyDescent="0.25">
      <c r="A61" s="10" t="s">
        <v>156</v>
      </c>
      <c r="B61" s="10" t="str">
        <f t="shared" si="0"/>
        <v>88962686070 AUTOMANN MEX MULTI LEAF SPRING 45220B5</v>
      </c>
      <c r="C61" s="10">
        <v>16.140999999999998</v>
      </c>
      <c r="D61" s="10" t="s">
        <v>157</v>
      </c>
      <c r="E61" s="1" t="s">
        <v>48</v>
      </c>
      <c r="F61" s="1" t="s">
        <v>49</v>
      </c>
      <c r="G61" s="1" t="s">
        <v>50</v>
      </c>
      <c r="H61" s="1">
        <v>88962686070</v>
      </c>
    </row>
    <row r="62" spans="1:8" x14ac:dyDescent="0.25">
      <c r="A62" s="10" t="s">
        <v>158</v>
      </c>
      <c r="B62" s="10" t="str">
        <f t="shared" si="0"/>
        <v>88962686145 AUTOMANN MEX TAPER/ZETA LEAF SPRING 551195XAL</v>
      </c>
      <c r="C62" s="10">
        <v>27.54</v>
      </c>
      <c r="D62" s="10" t="s">
        <v>159</v>
      </c>
      <c r="E62" s="1" t="s">
        <v>48</v>
      </c>
      <c r="F62" s="1" t="s">
        <v>160</v>
      </c>
      <c r="G62" s="1" t="s">
        <v>50</v>
      </c>
      <c r="H62" s="1">
        <v>88962686145</v>
      </c>
    </row>
    <row r="63" spans="1:8" x14ac:dyDescent="0.25">
      <c r="A63" s="10" t="s">
        <v>161</v>
      </c>
      <c r="B63" s="10" t="str">
        <f t="shared" si="0"/>
        <v>88962686101 AUTOMANN MEX MULTI LEAF SPRING 71124A1</v>
      </c>
      <c r="C63" s="10">
        <v>16.201000000000001</v>
      </c>
      <c r="D63" s="10" t="s">
        <v>162</v>
      </c>
      <c r="E63" s="1" t="s">
        <v>48</v>
      </c>
      <c r="F63" s="1" t="s">
        <v>49</v>
      </c>
      <c r="G63" s="1" t="s">
        <v>50</v>
      </c>
      <c r="H63" s="1">
        <v>88962686101</v>
      </c>
    </row>
    <row r="64" spans="1:8" x14ac:dyDescent="0.25">
      <c r="A64" s="10" t="s">
        <v>163</v>
      </c>
      <c r="B64" s="10" t="str">
        <f t="shared" si="0"/>
        <v>88962686102 AUTOMANN MEX MULTI LEAF SPRING 71124A2D</v>
      </c>
      <c r="C64" s="10">
        <v>17.565999999999999</v>
      </c>
      <c r="D64" s="10" t="s">
        <v>164</v>
      </c>
      <c r="E64" s="1" t="s">
        <v>48</v>
      </c>
      <c r="F64" s="1" t="s">
        <v>49</v>
      </c>
      <c r="G64" s="1" t="s">
        <v>50</v>
      </c>
      <c r="H64" s="1">
        <v>88962686102</v>
      </c>
    </row>
    <row r="65" spans="1:8" x14ac:dyDescent="0.25">
      <c r="A65" s="10" t="s">
        <v>165</v>
      </c>
      <c r="B65" s="10" t="str">
        <f t="shared" si="0"/>
        <v>88962686076 AUTOMANN MEX MULTI LEAF SPRING 711251BJ</v>
      </c>
      <c r="C65" s="10">
        <v>12.959</v>
      </c>
      <c r="D65" s="10" t="s">
        <v>166</v>
      </c>
      <c r="E65" s="1" t="s">
        <v>48</v>
      </c>
      <c r="F65" s="1" t="s">
        <v>49</v>
      </c>
      <c r="G65" s="1" t="s">
        <v>50</v>
      </c>
      <c r="H65" s="1">
        <v>88962686076</v>
      </c>
    </row>
    <row r="66" spans="1:8" x14ac:dyDescent="0.25">
      <c r="A66" s="10" t="s">
        <v>167</v>
      </c>
      <c r="B66" s="10" t="str">
        <f t="shared" ref="B66:B129" si="1">H66&amp;" "&amp;E66&amp;" "&amp;F66&amp;" "&amp;G66&amp;D66</f>
        <v>88962686060 AUTOMANN MEX TAPER LEAF SPRING 71158M1</v>
      </c>
      <c r="C66" s="10">
        <v>16.841000000000001</v>
      </c>
      <c r="D66" s="10" t="s">
        <v>168</v>
      </c>
      <c r="E66" s="1" t="s">
        <v>48</v>
      </c>
      <c r="F66" s="1" t="s">
        <v>58</v>
      </c>
      <c r="G66" s="1" t="s">
        <v>50</v>
      </c>
      <c r="H66" s="1">
        <v>88962686060</v>
      </c>
    </row>
    <row r="67" spans="1:8" x14ac:dyDescent="0.25">
      <c r="A67" s="10" t="s">
        <v>169</v>
      </c>
      <c r="B67" s="10" t="str">
        <f t="shared" si="1"/>
        <v>88962685997 AUTOMANN MEX MULTI LEAF SPRING 71175A4</v>
      </c>
      <c r="C67" s="10">
        <v>7.798</v>
      </c>
      <c r="D67" s="10" t="s">
        <v>170</v>
      </c>
      <c r="E67" s="1" t="s">
        <v>48</v>
      </c>
      <c r="F67" s="1" t="s">
        <v>49</v>
      </c>
      <c r="G67" s="1" t="s">
        <v>50</v>
      </c>
      <c r="H67" s="1">
        <v>88962685997</v>
      </c>
    </row>
    <row r="68" spans="1:8" x14ac:dyDescent="0.25">
      <c r="A68" s="10" t="s">
        <v>171</v>
      </c>
      <c r="B68" s="10" t="str">
        <f t="shared" si="1"/>
        <v>88962685998 AUTOMANN MEX MULTI LEAF SPRING 71175A5</v>
      </c>
      <c r="C68" s="10">
        <v>7.0259999999999998</v>
      </c>
      <c r="D68" s="10" t="s">
        <v>172</v>
      </c>
      <c r="E68" s="1" t="s">
        <v>48</v>
      </c>
      <c r="F68" s="1" t="s">
        <v>49</v>
      </c>
      <c r="G68" s="1" t="s">
        <v>50</v>
      </c>
      <c r="H68" s="1">
        <v>88962685998</v>
      </c>
    </row>
    <row r="69" spans="1:8" x14ac:dyDescent="0.25">
      <c r="A69" s="10" t="s">
        <v>173</v>
      </c>
      <c r="B69" s="10" t="str">
        <f t="shared" si="1"/>
        <v>88962685913 AUTOMANN MEX MULTI LEAF SPRING 80181A</v>
      </c>
      <c r="C69" s="10">
        <v>4.6840000000000002</v>
      </c>
      <c r="D69" s="10" t="s">
        <v>174</v>
      </c>
      <c r="E69" s="1" t="s">
        <v>48</v>
      </c>
      <c r="F69" s="1" t="s">
        <v>49</v>
      </c>
      <c r="G69" s="1" t="s">
        <v>50</v>
      </c>
      <c r="H69" s="1">
        <v>88962685913</v>
      </c>
    </row>
    <row r="70" spans="1:8" x14ac:dyDescent="0.25">
      <c r="A70" s="10" t="s">
        <v>175</v>
      </c>
      <c r="B70" s="10" t="str">
        <f t="shared" si="1"/>
        <v>88962685916 AUTOMANN MEX MULTI LEAF SPRING 80181GM</v>
      </c>
      <c r="C70" s="10">
        <v>5.3629999999999995</v>
      </c>
      <c r="D70" s="10" t="s">
        <v>176</v>
      </c>
      <c r="E70" s="1" t="s">
        <v>48</v>
      </c>
      <c r="F70" s="1" t="s">
        <v>49</v>
      </c>
      <c r="G70" s="1" t="s">
        <v>50</v>
      </c>
      <c r="H70" s="1">
        <v>88962685916</v>
      </c>
    </row>
    <row r="71" spans="1:8" x14ac:dyDescent="0.25">
      <c r="A71" s="10" t="s">
        <v>177</v>
      </c>
      <c r="B71" s="10" t="str">
        <f t="shared" si="1"/>
        <v>88962686192 AUTOMANN MEX MULTI LEAF SPRING 80181NPBJ</v>
      </c>
      <c r="C71" s="10">
        <v>5.7219999999999995</v>
      </c>
      <c r="D71" s="10" t="s">
        <v>178</v>
      </c>
      <c r="E71" s="1" t="s">
        <v>48</v>
      </c>
      <c r="F71" s="1" t="s">
        <v>49</v>
      </c>
      <c r="G71" s="1" t="s">
        <v>50</v>
      </c>
      <c r="H71" s="1">
        <v>88962686192</v>
      </c>
    </row>
    <row r="72" spans="1:8" x14ac:dyDescent="0.25">
      <c r="A72" s="10" t="s">
        <v>179</v>
      </c>
      <c r="B72" s="10" t="str">
        <f t="shared" si="1"/>
        <v>88962685923 AUTOMANN MEX MULTI LEAF SPRING 80181UM</v>
      </c>
      <c r="C72" s="10">
        <v>5.41</v>
      </c>
      <c r="D72" s="10" t="s">
        <v>180</v>
      </c>
      <c r="E72" s="1" t="s">
        <v>48</v>
      </c>
      <c r="F72" s="1" t="s">
        <v>49</v>
      </c>
      <c r="G72" s="1" t="s">
        <v>50</v>
      </c>
      <c r="H72" s="1">
        <v>88962685923</v>
      </c>
    </row>
    <row r="73" spans="1:8" x14ac:dyDescent="0.25">
      <c r="A73" s="10" t="s">
        <v>181</v>
      </c>
      <c r="B73" s="10" t="str">
        <f t="shared" si="1"/>
        <v>88962685914 AUTOMANN MEX MULTI LEAF SPRING 80182A</v>
      </c>
      <c r="C73" s="10">
        <v>3.5630000000000002</v>
      </c>
      <c r="D73" s="10" t="s">
        <v>182</v>
      </c>
      <c r="E73" s="1" t="s">
        <v>48</v>
      </c>
      <c r="F73" s="1" t="s">
        <v>49</v>
      </c>
      <c r="G73" s="1" t="s">
        <v>50</v>
      </c>
      <c r="H73" s="1">
        <v>88962685914</v>
      </c>
    </row>
    <row r="74" spans="1:8" x14ac:dyDescent="0.25">
      <c r="A74" s="10" t="s">
        <v>183</v>
      </c>
      <c r="B74" s="10" t="str">
        <f t="shared" si="1"/>
        <v>88962685915 AUTOMANN MEX MULTI LEAF SPRING 80182AD</v>
      </c>
      <c r="C74" s="10">
        <v>4.1859999999999999</v>
      </c>
      <c r="D74" s="10" t="s">
        <v>184</v>
      </c>
      <c r="E74" s="1" t="s">
        <v>48</v>
      </c>
      <c r="F74" s="1" t="s">
        <v>49</v>
      </c>
      <c r="G74" s="1" t="s">
        <v>50</v>
      </c>
      <c r="H74" s="1">
        <v>88962685915</v>
      </c>
    </row>
    <row r="75" spans="1:8" x14ac:dyDescent="0.25">
      <c r="A75" s="10" t="s">
        <v>185</v>
      </c>
      <c r="B75" s="10" t="str">
        <f t="shared" si="1"/>
        <v>88962685917 AUTOMANN MEX MULTI LEAF SPRING 80182GM</v>
      </c>
      <c r="C75" s="10">
        <v>4.0830000000000002</v>
      </c>
      <c r="D75" s="10" t="s">
        <v>186</v>
      </c>
      <c r="E75" s="1" t="s">
        <v>48</v>
      </c>
      <c r="F75" s="1" t="s">
        <v>49</v>
      </c>
      <c r="G75" s="1" t="s">
        <v>50</v>
      </c>
      <c r="H75" s="1">
        <v>88962685917</v>
      </c>
    </row>
    <row r="76" spans="1:8" x14ac:dyDescent="0.25">
      <c r="A76" s="10" t="s">
        <v>187</v>
      </c>
      <c r="B76" s="10" t="str">
        <f t="shared" si="1"/>
        <v>88962685918 AUTOMANN MEX MULTI LEAF SPRING 80182GMD</v>
      </c>
      <c r="C76" s="10">
        <v>4.7450000000000001</v>
      </c>
      <c r="D76" s="10" t="s">
        <v>188</v>
      </c>
      <c r="E76" s="1" t="s">
        <v>48</v>
      </c>
      <c r="F76" s="1" t="s">
        <v>49</v>
      </c>
      <c r="G76" s="1" t="s">
        <v>50</v>
      </c>
      <c r="H76" s="1">
        <v>88962685918</v>
      </c>
    </row>
    <row r="77" spans="1:8" x14ac:dyDescent="0.25">
      <c r="A77" s="10" t="s">
        <v>189</v>
      </c>
      <c r="B77" s="10" t="str">
        <f t="shared" si="1"/>
        <v>88962686188 AUTOMANN MEX MULTI LEAF SPRING 80182M</v>
      </c>
      <c r="C77" s="10">
        <v>4.2670000000000003</v>
      </c>
      <c r="D77" s="10" t="s">
        <v>190</v>
      </c>
      <c r="E77" s="1" t="s">
        <v>48</v>
      </c>
      <c r="F77" s="1" t="s">
        <v>49</v>
      </c>
      <c r="G77" s="1" t="s">
        <v>50</v>
      </c>
      <c r="H77" s="1">
        <v>88962686188</v>
      </c>
    </row>
    <row r="78" spans="1:8" x14ac:dyDescent="0.25">
      <c r="A78" s="10" t="s">
        <v>191</v>
      </c>
      <c r="B78" s="10" t="str">
        <f t="shared" si="1"/>
        <v>88962686193 AUTOMANN MEX MULTI LEAF SPRING 80182NPDR</v>
      </c>
      <c r="C78" s="10">
        <v>5.1739999999999995</v>
      </c>
      <c r="D78" s="10" t="s">
        <v>192</v>
      </c>
      <c r="E78" s="1" t="s">
        <v>48</v>
      </c>
      <c r="F78" s="1" t="s">
        <v>49</v>
      </c>
      <c r="G78" s="1" t="s">
        <v>50</v>
      </c>
      <c r="H78" s="1">
        <v>88962686193</v>
      </c>
    </row>
    <row r="79" spans="1:8" x14ac:dyDescent="0.25">
      <c r="A79" s="10" t="s">
        <v>193</v>
      </c>
      <c r="B79" s="10" t="str">
        <f t="shared" si="1"/>
        <v>88962685924 AUTOMANN MEX MULTI LEAF SPRING 80182UMD</v>
      </c>
      <c r="C79" s="10">
        <v>4.9349999999999996</v>
      </c>
      <c r="D79" s="10" t="s">
        <v>194</v>
      </c>
      <c r="E79" s="1" t="s">
        <v>48</v>
      </c>
      <c r="F79" s="1" t="s">
        <v>49</v>
      </c>
      <c r="G79" s="1" t="s">
        <v>50</v>
      </c>
      <c r="H79" s="1">
        <v>88962685924</v>
      </c>
    </row>
    <row r="80" spans="1:8" x14ac:dyDescent="0.25">
      <c r="A80" s="10" t="s">
        <v>195</v>
      </c>
      <c r="B80" s="10" t="str">
        <f t="shared" si="1"/>
        <v>88962685919 AUTOMANN MEX MULTI LEAF SPRING 80183GM</v>
      </c>
      <c r="C80" s="10">
        <v>4.6529999999999996</v>
      </c>
      <c r="D80" s="10" t="s">
        <v>196</v>
      </c>
      <c r="E80" s="1" t="s">
        <v>48</v>
      </c>
      <c r="F80" s="1" t="s">
        <v>49</v>
      </c>
      <c r="G80" s="1" t="s">
        <v>50</v>
      </c>
      <c r="H80" s="1">
        <v>88962685919</v>
      </c>
    </row>
    <row r="81" spans="1:8" x14ac:dyDescent="0.25">
      <c r="A81" s="10" t="s">
        <v>197</v>
      </c>
      <c r="B81" s="10" t="str">
        <f t="shared" si="1"/>
        <v>88962686190 AUTOMANN MEX MULTI LEAF SPRING 80183M</v>
      </c>
      <c r="C81" s="10">
        <v>3.7250000000000001</v>
      </c>
      <c r="D81" s="10" t="s">
        <v>198</v>
      </c>
      <c r="E81" s="1" t="s">
        <v>48</v>
      </c>
      <c r="F81" s="1" t="s">
        <v>49</v>
      </c>
      <c r="G81" s="1" t="s">
        <v>50</v>
      </c>
      <c r="H81" s="1">
        <v>88962686190</v>
      </c>
    </row>
    <row r="82" spans="1:8" x14ac:dyDescent="0.25">
      <c r="A82" s="10" t="s">
        <v>199</v>
      </c>
      <c r="B82" s="10" t="str">
        <f t="shared" si="1"/>
        <v>88962686191 AUTOMANN MEX MULTI LEAF SPRING 80184M</v>
      </c>
      <c r="C82" s="10">
        <v>5.7640000000000002</v>
      </c>
      <c r="D82" s="10" t="s">
        <v>200</v>
      </c>
      <c r="E82" s="1" t="s">
        <v>48</v>
      </c>
      <c r="F82" s="1" t="s">
        <v>49</v>
      </c>
      <c r="G82" s="1" t="s">
        <v>50</v>
      </c>
      <c r="H82" s="1">
        <v>88962686191</v>
      </c>
    </row>
    <row r="83" spans="1:8" x14ac:dyDescent="0.25">
      <c r="A83" s="10" t="s">
        <v>201</v>
      </c>
      <c r="B83" s="10" t="str">
        <f t="shared" si="1"/>
        <v>88962686042 AUTOMANN MEX MULTI LEAF SPRING 80281B</v>
      </c>
      <c r="C83" s="10">
        <v>11.217000000000001</v>
      </c>
      <c r="D83" s="10" t="s">
        <v>202</v>
      </c>
      <c r="E83" s="1" t="s">
        <v>48</v>
      </c>
      <c r="F83" s="1" t="s">
        <v>49</v>
      </c>
      <c r="G83" s="1" t="s">
        <v>50</v>
      </c>
      <c r="H83" s="1">
        <v>88962686042</v>
      </c>
    </row>
    <row r="84" spans="1:8" x14ac:dyDescent="0.25">
      <c r="A84" s="10" t="s">
        <v>203</v>
      </c>
      <c r="B84" s="10" t="str">
        <f t="shared" si="1"/>
        <v>88962686092 AUTOMANN MEX MULTI LEAF SPRING 81145B</v>
      </c>
      <c r="C84" s="10">
        <v>7.5650000000000004</v>
      </c>
      <c r="D84" s="10" t="s">
        <v>204</v>
      </c>
      <c r="E84" s="1" t="s">
        <v>48</v>
      </c>
      <c r="F84" s="1" t="s">
        <v>49</v>
      </c>
      <c r="G84" s="1" t="s">
        <v>50</v>
      </c>
      <c r="H84" s="1">
        <v>88962686092</v>
      </c>
    </row>
    <row r="85" spans="1:8" x14ac:dyDescent="0.25">
      <c r="A85" s="10" t="s">
        <v>205</v>
      </c>
      <c r="B85" s="10" t="str">
        <f t="shared" si="1"/>
        <v>88962686073 AUTOMANN MEX MULTI LEAF SPRING 81202D</v>
      </c>
      <c r="C85" s="10">
        <v>10.983000000000001</v>
      </c>
      <c r="D85" s="10" t="s">
        <v>206</v>
      </c>
      <c r="E85" s="1" t="s">
        <v>48</v>
      </c>
      <c r="F85" s="1" t="s">
        <v>49</v>
      </c>
      <c r="G85" s="1" t="s">
        <v>50</v>
      </c>
      <c r="H85" s="1">
        <v>88962686073</v>
      </c>
    </row>
    <row r="86" spans="1:8" x14ac:dyDescent="0.25">
      <c r="A86" s="10" t="s">
        <v>207</v>
      </c>
      <c r="B86" s="10" t="str">
        <f t="shared" si="1"/>
        <v>88962685939 AUTOMANN MEX MULTI LEAF SPRING DI01091</v>
      </c>
      <c r="C86" s="10">
        <v>4.3819999999999997</v>
      </c>
      <c r="D86" s="10" t="s">
        <v>208</v>
      </c>
      <c r="E86" s="1" t="s">
        <v>48</v>
      </c>
      <c r="F86" s="1" t="s">
        <v>49</v>
      </c>
      <c r="G86" s="1" t="s">
        <v>50</v>
      </c>
      <c r="H86" s="1">
        <v>88962685939</v>
      </c>
    </row>
    <row r="87" spans="1:8" x14ac:dyDescent="0.25">
      <c r="A87" s="10" t="s">
        <v>209</v>
      </c>
      <c r="B87" s="10" t="str">
        <f t="shared" si="1"/>
        <v>88962686151 AUTOMANN MEX MULTI LEAF SPRING HI3007162D</v>
      </c>
      <c r="C87" s="10">
        <v>8.1929999999999996</v>
      </c>
      <c r="D87" s="10" t="s">
        <v>210</v>
      </c>
      <c r="E87" s="1" t="s">
        <v>48</v>
      </c>
      <c r="F87" s="1" t="s">
        <v>49</v>
      </c>
      <c r="G87" s="1" t="s">
        <v>50</v>
      </c>
      <c r="H87" s="1">
        <v>88962686151</v>
      </c>
    </row>
    <row r="88" spans="1:8" x14ac:dyDescent="0.25">
      <c r="A88" s="10" t="s">
        <v>211</v>
      </c>
      <c r="B88" s="10" t="str">
        <f t="shared" si="1"/>
        <v>88962686013 AUTOMANN MEX MULTI LEAF SPRING RX2010T</v>
      </c>
      <c r="C88" s="10">
        <v>6.5709999999999997</v>
      </c>
      <c r="D88" s="10" t="s">
        <v>212</v>
      </c>
      <c r="E88" s="1" t="s">
        <v>48</v>
      </c>
      <c r="F88" s="1" t="s">
        <v>49</v>
      </c>
      <c r="G88" s="1" t="s">
        <v>50</v>
      </c>
      <c r="H88" s="1">
        <v>88962686013</v>
      </c>
    </row>
    <row r="89" spans="1:8" x14ac:dyDescent="0.25">
      <c r="A89" s="10" t="s">
        <v>213</v>
      </c>
      <c r="B89" s="10" t="str">
        <f t="shared" si="1"/>
        <v>88962685995 AUTOMANN MEX MULTI LEAF SPRING SLR175AI</v>
      </c>
      <c r="C89" s="10">
        <v>9.4229999999999983</v>
      </c>
      <c r="D89" s="10" t="s">
        <v>214</v>
      </c>
      <c r="E89" s="1" t="s">
        <v>48</v>
      </c>
      <c r="F89" s="1" t="s">
        <v>49</v>
      </c>
      <c r="G89" s="1" t="s">
        <v>50</v>
      </c>
      <c r="H89" s="1">
        <v>88962685995</v>
      </c>
    </row>
    <row r="90" spans="1:8" x14ac:dyDescent="0.25">
      <c r="A90" s="10" t="s">
        <v>215</v>
      </c>
      <c r="B90" s="10" t="str">
        <f t="shared" si="1"/>
        <v>88962686195 AUTOMANN MEX MULTI LEAF SPRING SW4B1</v>
      </c>
      <c r="C90" s="10">
        <v>2.6750000000000003</v>
      </c>
      <c r="D90" s="10" t="s">
        <v>216</v>
      </c>
      <c r="E90" s="1" t="s">
        <v>48</v>
      </c>
      <c r="F90" s="1" t="s">
        <v>49</v>
      </c>
      <c r="G90" s="1" t="s">
        <v>50</v>
      </c>
      <c r="H90" s="1">
        <v>88962686195</v>
      </c>
    </row>
    <row r="91" spans="1:8" x14ac:dyDescent="0.25">
      <c r="A91" s="10" t="s">
        <v>217</v>
      </c>
      <c r="B91" s="10" t="str">
        <f>H91&amp;" "&amp;E91&amp;" "&amp;F91&amp;" "&amp;G91&amp;D91</f>
        <v>88962686196 AUTOMANN MEX MULTI LEAF SPRING SW4B2D</v>
      </c>
      <c r="C91" s="10">
        <v>2.3699999999999997</v>
      </c>
      <c r="D91" s="10" t="s">
        <v>218</v>
      </c>
      <c r="E91" s="1" t="s">
        <v>48</v>
      </c>
      <c r="F91" s="1" t="s">
        <v>49</v>
      </c>
      <c r="G91" s="1" t="s">
        <v>50</v>
      </c>
      <c r="H91" s="1">
        <v>88962686196</v>
      </c>
    </row>
    <row r="92" spans="1:8" x14ac:dyDescent="0.25">
      <c r="A92" s="10" t="s">
        <v>219</v>
      </c>
      <c r="B92" s="10" t="str">
        <f t="shared" si="1"/>
        <v>88962686197 AUTOMANN MEX MC-MULTI LEAF SPRING SW5</v>
      </c>
      <c r="C92" s="10">
        <v>7.04</v>
      </c>
      <c r="D92" s="10" t="s">
        <v>220</v>
      </c>
      <c r="E92" s="1" t="s">
        <v>48</v>
      </c>
      <c r="F92" s="1" t="s">
        <v>221</v>
      </c>
      <c r="G92" s="1" t="s">
        <v>50</v>
      </c>
      <c r="H92" s="1">
        <v>88962686197</v>
      </c>
    </row>
    <row r="93" spans="1:8" x14ac:dyDescent="0.25">
      <c r="A93" s="10" t="s">
        <v>222</v>
      </c>
      <c r="B93" s="10" t="str">
        <f t="shared" si="1"/>
        <v>88962686165 AUTOMANN MEX MC-MULTI LEAF SPRING SW7</v>
      </c>
      <c r="C93" s="10">
        <v>11.441000000000001</v>
      </c>
      <c r="D93" s="10" t="s">
        <v>223</v>
      </c>
      <c r="E93" s="1" t="s">
        <v>48</v>
      </c>
      <c r="F93" s="1" t="s">
        <v>221</v>
      </c>
      <c r="G93" s="1" t="s">
        <v>50</v>
      </c>
      <c r="H93" s="1">
        <v>88962686165</v>
      </c>
    </row>
    <row r="94" spans="1:8" x14ac:dyDescent="0.25">
      <c r="A94" s="10" t="s">
        <v>224</v>
      </c>
      <c r="B94" s="10" t="str">
        <f t="shared" si="1"/>
        <v>88962686159 AUTOMANN MEX MULTI LEAF SPRING TO47111</v>
      </c>
      <c r="C94" s="10">
        <v>6.33</v>
      </c>
      <c r="D94" s="10" t="s">
        <v>225</v>
      </c>
      <c r="E94" s="1" t="s">
        <v>48</v>
      </c>
      <c r="F94" s="1" t="s">
        <v>49</v>
      </c>
      <c r="G94" s="1" t="s">
        <v>50</v>
      </c>
      <c r="H94" s="1">
        <v>88962686159</v>
      </c>
    </row>
    <row r="95" spans="1:8" x14ac:dyDescent="0.25">
      <c r="A95" s="10" t="s">
        <v>226</v>
      </c>
      <c r="B95" s="10" t="str">
        <f>H95&amp;" "&amp;E95&amp;" "&amp;F95&amp;" "&amp;G95&amp;D95</f>
        <v>88962686160 AUTOMANN MEX MULTI LEAF SPRING TO47112</v>
      </c>
      <c r="C95" s="10">
        <v>5.52</v>
      </c>
      <c r="D95" s="10" t="s">
        <v>227</v>
      </c>
      <c r="E95" s="1" t="s">
        <v>48</v>
      </c>
      <c r="F95" s="1" t="s">
        <v>49</v>
      </c>
      <c r="G95" s="1" t="s">
        <v>50</v>
      </c>
      <c r="H95" s="1">
        <v>88962686160</v>
      </c>
    </row>
    <row r="96" spans="1:8" x14ac:dyDescent="0.25">
      <c r="A96" s="10" t="s">
        <v>228</v>
      </c>
      <c r="B96" s="10" t="str">
        <f t="shared" si="1"/>
        <v>88962686198 AUTOMANN MEX MULTI LEAF SPRING TRA2726-1</v>
      </c>
      <c r="C96" s="10">
        <v>12.098000000000001</v>
      </c>
      <c r="D96" s="10" t="s">
        <v>229</v>
      </c>
      <c r="E96" s="1" t="s">
        <v>48</v>
      </c>
      <c r="F96" s="1" t="s">
        <v>49</v>
      </c>
      <c r="G96" s="1" t="s">
        <v>50</v>
      </c>
      <c r="H96" s="1">
        <v>88962686198</v>
      </c>
    </row>
    <row r="97" spans="1:8" x14ac:dyDescent="0.25">
      <c r="A97" s="10" t="s">
        <v>230</v>
      </c>
      <c r="B97" s="10" t="str">
        <f>H97&amp;" "&amp;E97&amp;" "&amp;F97&amp;" "&amp;G97&amp;D97</f>
        <v>88962686199 AUTOMANN MEX MULTI LEAF SPRING TRA2727-1</v>
      </c>
      <c r="C97" s="10">
        <v>12.193</v>
      </c>
      <c r="D97" s="10" t="s">
        <v>231</v>
      </c>
      <c r="E97" s="1" t="s">
        <v>48</v>
      </c>
      <c r="F97" s="1" t="s">
        <v>49</v>
      </c>
      <c r="G97" s="1" t="s">
        <v>50</v>
      </c>
      <c r="H97" s="1">
        <v>88962686199</v>
      </c>
    </row>
    <row r="98" spans="1:8" x14ac:dyDescent="0.25">
      <c r="A98" s="10" t="s">
        <v>232</v>
      </c>
      <c r="B98" s="10" t="str">
        <f t="shared" si="1"/>
        <v>88962685861 AUTOMANN MEX MULTI LEAF SPRING TRX22532334</v>
      </c>
      <c r="C98" s="10">
        <v>3.1190000000000002</v>
      </c>
      <c r="D98" s="10" t="s">
        <v>233</v>
      </c>
      <c r="E98" s="1" t="s">
        <v>48</v>
      </c>
      <c r="F98" s="1" t="s">
        <v>49</v>
      </c>
      <c r="G98" s="1" t="s">
        <v>50</v>
      </c>
      <c r="H98" s="1">
        <v>88962685861</v>
      </c>
    </row>
    <row r="99" spans="1:8" x14ac:dyDescent="0.25">
      <c r="A99" s="10" t="s">
        <v>234</v>
      </c>
      <c r="B99" s="10" t="str">
        <f t="shared" si="1"/>
        <v>88962685863 AUTOMANN MEX MULTI LEAF SPRING TRX22532342</v>
      </c>
      <c r="C99" s="10">
        <v>3.7789999999999999</v>
      </c>
      <c r="D99" s="10" t="s">
        <v>235</v>
      </c>
      <c r="E99" s="1" t="s">
        <v>48</v>
      </c>
      <c r="F99" s="1" t="s">
        <v>49</v>
      </c>
      <c r="G99" s="1" t="s">
        <v>50</v>
      </c>
      <c r="H99" s="1">
        <v>88962685863</v>
      </c>
    </row>
    <row r="100" spans="1:8" x14ac:dyDescent="0.25">
      <c r="A100" s="10" t="s">
        <v>236</v>
      </c>
      <c r="B100" s="10" t="str">
        <f t="shared" si="1"/>
        <v>88962685864 AUTOMANN MEX MULTI LEAF SPRING TRX22532346</v>
      </c>
      <c r="C100" s="10">
        <v>4.22</v>
      </c>
      <c r="D100" s="10" t="s">
        <v>237</v>
      </c>
      <c r="E100" s="1" t="s">
        <v>48</v>
      </c>
      <c r="F100" s="1" t="s">
        <v>49</v>
      </c>
      <c r="G100" s="1" t="s">
        <v>50</v>
      </c>
      <c r="H100" s="1">
        <v>88962685864</v>
      </c>
    </row>
    <row r="101" spans="1:8" x14ac:dyDescent="0.25">
      <c r="A101" s="10" t="s">
        <v>238</v>
      </c>
      <c r="B101" s="10" t="str">
        <f>H101&amp;" "&amp;E101&amp;" "&amp;F101&amp;" "&amp;G101&amp;D101</f>
        <v>88962685866 AUTOMANN MEX MULTI LEAF SPRING TRX22532356</v>
      </c>
      <c r="C101" s="10">
        <v>5.1369999999999996</v>
      </c>
      <c r="D101" s="10" t="s">
        <v>239</v>
      </c>
      <c r="E101" s="1" t="s">
        <v>48</v>
      </c>
      <c r="F101" s="1" t="s">
        <v>49</v>
      </c>
      <c r="G101" s="1" t="s">
        <v>50</v>
      </c>
      <c r="H101" s="1">
        <v>88962685866</v>
      </c>
    </row>
    <row r="102" spans="1:8" x14ac:dyDescent="0.25">
      <c r="A102" s="10" t="s">
        <v>240</v>
      </c>
      <c r="B102" s="10" t="str">
        <f>H102&amp;" "&amp;E102&amp;" "&amp;F102&amp;" "&amp;G102&amp;D102</f>
        <v>88962685867 AUTOMANN MEX MULTI LEAF SPRING TRX22532360</v>
      </c>
      <c r="C102" s="10">
        <v>5.5039999999999996</v>
      </c>
      <c r="D102" s="10" t="s">
        <v>241</v>
      </c>
      <c r="E102" s="1" t="s">
        <v>48</v>
      </c>
      <c r="F102" s="1" t="s">
        <v>49</v>
      </c>
      <c r="G102" s="1" t="s">
        <v>50</v>
      </c>
      <c r="H102" s="1">
        <v>88962685867</v>
      </c>
    </row>
    <row r="103" spans="1:8" x14ac:dyDescent="0.25">
      <c r="A103" s="10" t="s">
        <v>242</v>
      </c>
      <c r="B103" s="10" t="str">
        <f t="shared" si="1"/>
        <v>88962685870 AUTOMANN MEX MULTI LEAF SPRING TRX25036047</v>
      </c>
      <c r="C103" s="10">
        <v>5.2409999999999997</v>
      </c>
      <c r="D103" s="10" t="s">
        <v>243</v>
      </c>
      <c r="E103" s="1" t="s">
        <v>48</v>
      </c>
      <c r="F103" s="1" t="s">
        <v>49</v>
      </c>
      <c r="G103" s="1" t="s">
        <v>50</v>
      </c>
      <c r="H103" s="1">
        <v>88962685870</v>
      </c>
    </row>
    <row r="104" spans="1:8" x14ac:dyDescent="0.25">
      <c r="A104" s="10" t="s">
        <v>244</v>
      </c>
      <c r="B104" s="10" t="str">
        <f t="shared" si="1"/>
        <v>88962685901 AUTOMANN MEX MULTI LEAF SPRING TRX30036047</v>
      </c>
      <c r="C104" s="10">
        <v>6.3079999999999998</v>
      </c>
      <c r="D104" s="10" t="s">
        <v>245</v>
      </c>
      <c r="E104" s="1" t="s">
        <v>48</v>
      </c>
      <c r="F104" s="1" t="s">
        <v>49</v>
      </c>
      <c r="G104" s="1" t="s">
        <v>50</v>
      </c>
      <c r="H104" s="1">
        <v>88962685901</v>
      </c>
    </row>
    <row r="105" spans="1:8" x14ac:dyDescent="0.25">
      <c r="A105" s="10" t="s">
        <v>246</v>
      </c>
      <c r="B105" s="10" t="str">
        <f t="shared" si="1"/>
        <v>88962686027 AUTOMANN MEX MULTI LEAF SPRING TRX304031</v>
      </c>
      <c r="C105" s="10">
        <v>4.6970000000000001</v>
      </c>
      <c r="D105" s="10" t="s">
        <v>247</v>
      </c>
      <c r="E105" s="1" t="s">
        <v>48</v>
      </c>
      <c r="F105" s="1" t="s">
        <v>49</v>
      </c>
      <c r="G105" s="1" t="s">
        <v>50</v>
      </c>
      <c r="H105" s="1">
        <v>88962686027</v>
      </c>
    </row>
    <row r="106" spans="1:8" x14ac:dyDescent="0.25">
      <c r="A106" s="10" t="s">
        <v>248</v>
      </c>
      <c r="B106" s="10" t="str">
        <f>H106&amp;" "&amp;E106&amp;" "&amp;F106&amp;" "&amp;G106&amp;D106</f>
        <v>88962686026 AUTOMANN MEX MULTI LEAF SPRING TRX304036</v>
      </c>
      <c r="C106" s="10">
        <v>5.5059999999999993</v>
      </c>
      <c r="D106" s="10" t="s">
        <v>249</v>
      </c>
      <c r="E106" s="1" t="s">
        <v>48</v>
      </c>
      <c r="F106" s="1" t="s">
        <v>49</v>
      </c>
      <c r="G106" s="1" t="s">
        <v>50</v>
      </c>
      <c r="H106" s="1">
        <v>88962686026</v>
      </c>
    </row>
    <row r="107" spans="1:8" x14ac:dyDescent="0.25">
      <c r="A107" s="10" t="s">
        <v>250</v>
      </c>
      <c r="B107" s="10" t="str">
        <f t="shared" si="1"/>
        <v>88962686025 AUTOMANN MEX MULTI LEAF SPRING TRX304041</v>
      </c>
      <c r="C107" s="10">
        <v>6.2370000000000001</v>
      </c>
      <c r="D107" s="10" t="s">
        <v>251</v>
      </c>
      <c r="E107" s="1" t="s">
        <v>48</v>
      </c>
      <c r="F107" s="1" t="s">
        <v>49</v>
      </c>
      <c r="G107" s="1" t="s">
        <v>50</v>
      </c>
      <c r="H107" s="1">
        <v>88962686025</v>
      </c>
    </row>
    <row r="108" spans="1:8" x14ac:dyDescent="0.25">
      <c r="A108" s="10" t="s">
        <v>252</v>
      </c>
      <c r="B108" s="10" t="str">
        <f t="shared" si="1"/>
        <v>88962686024 AUTOMANN MEX MULTI LEAF SPRING TRX304046</v>
      </c>
      <c r="C108" s="10">
        <v>6.9909999999999997</v>
      </c>
      <c r="D108" s="10" t="s">
        <v>253</v>
      </c>
      <c r="E108" s="1" t="s">
        <v>48</v>
      </c>
      <c r="F108" s="1" t="s">
        <v>49</v>
      </c>
      <c r="G108" s="1" t="s">
        <v>50</v>
      </c>
      <c r="H108" s="1">
        <v>88962686024</v>
      </c>
    </row>
    <row r="109" spans="1:8" x14ac:dyDescent="0.25">
      <c r="A109" s="10" t="s">
        <v>254</v>
      </c>
      <c r="B109" s="10" t="str">
        <f t="shared" si="1"/>
        <v>88962686023 AUTOMANN MEX MULTI LEAF SPRING TRX304054D</v>
      </c>
      <c r="C109" s="10">
        <v>8.8339999999999996</v>
      </c>
      <c r="D109" s="10" t="s">
        <v>255</v>
      </c>
      <c r="E109" s="1" t="s">
        <v>48</v>
      </c>
      <c r="F109" s="1" t="s">
        <v>49</v>
      </c>
      <c r="G109" s="1" t="s">
        <v>50</v>
      </c>
      <c r="H109" s="1">
        <v>88962686023</v>
      </c>
    </row>
    <row r="110" spans="1:8" x14ac:dyDescent="0.25">
      <c r="A110" s="10" t="s">
        <v>256</v>
      </c>
      <c r="B110" s="10" t="str">
        <f t="shared" si="1"/>
        <v>88962686021 AUTOMANN MEX MULTI LEAF SPRING TRX304059</v>
      </c>
      <c r="C110" s="10">
        <v>9.0139999999999993</v>
      </c>
      <c r="D110" s="10" t="s">
        <v>257</v>
      </c>
      <c r="E110" s="1" t="s">
        <v>48</v>
      </c>
      <c r="F110" s="1" t="s">
        <v>49</v>
      </c>
      <c r="G110" s="1" t="s">
        <v>50</v>
      </c>
      <c r="H110" s="1">
        <v>88962686021</v>
      </c>
    </row>
    <row r="111" spans="1:8" x14ac:dyDescent="0.25">
      <c r="A111" s="10" t="s">
        <v>258</v>
      </c>
      <c r="B111" s="10" t="str">
        <f t="shared" si="1"/>
        <v>88962686006 AUTOMANN MEX MULTI LEAF SPRING TRX304931</v>
      </c>
      <c r="C111" s="10">
        <v>5.8550000000000004</v>
      </c>
      <c r="D111" s="10" t="s">
        <v>259</v>
      </c>
      <c r="E111" s="1" t="s">
        <v>48</v>
      </c>
      <c r="F111" s="1" t="s">
        <v>49</v>
      </c>
      <c r="G111" s="1" t="s">
        <v>50</v>
      </c>
      <c r="H111" s="1">
        <v>88962686006</v>
      </c>
    </row>
    <row r="112" spans="1:8" x14ac:dyDescent="0.25">
      <c r="A112" s="10" t="s">
        <v>260</v>
      </c>
      <c r="B112" s="10" t="str">
        <f t="shared" si="1"/>
        <v>88962686005 AUTOMANN MEX MULTI LEAF SPRING TRX304937</v>
      </c>
      <c r="C112" s="10">
        <v>6.9740000000000002</v>
      </c>
      <c r="D112" s="10" t="s">
        <v>261</v>
      </c>
      <c r="E112" s="1" t="s">
        <v>48</v>
      </c>
      <c r="F112" s="1" t="s">
        <v>49</v>
      </c>
      <c r="G112" s="1" t="s">
        <v>50</v>
      </c>
      <c r="H112" s="1">
        <v>88962686005</v>
      </c>
    </row>
    <row r="113" spans="1:8" x14ac:dyDescent="0.25">
      <c r="A113" s="10" t="s">
        <v>262</v>
      </c>
      <c r="B113" s="10" t="str">
        <f t="shared" si="1"/>
        <v>88962686004 AUTOMANN MEX MULTI LEAF SPRING TRX304942</v>
      </c>
      <c r="C113" s="10">
        <v>8.0129999999999999</v>
      </c>
      <c r="D113" s="10" t="s">
        <v>263</v>
      </c>
      <c r="E113" s="1" t="s">
        <v>48</v>
      </c>
      <c r="F113" s="1" t="s">
        <v>49</v>
      </c>
      <c r="G113" s="1" t="s">
        <v>50</v>
      </c>
      <c r="H113" s="1">
        <v>88962686004</v>
      </c>
    </row>
    <row r="114" spans="1:8" x14ac:dyDescent="0.25">
      <c r="A114" s="10" t="s">
        <v>264</v>
      </c>
      <c r="B114" s="10" t="str">
        <f t="shared" si="1"/>
        <v>88962686003 AUTOMANN MEX MULTI LEAF SPRING TRX304948</v>
      </c>
      <c r="C114" s="10">
        <v>9.0520000000000014</v>
      </c>
      <c r="D114" s="10" t="s">
        <v>265</v>
      </c>
      <c r="E114" s="1" t="s">
        <v>48</v>
      </c>
      <c r="F114" s="1" t="s">
        <v>49</v>
      </c>
      <c r="G114" s="1" t="s">
        <v>50</v>
      </c>
      <c r="H114" s="1">
        <v>88962686003</v>
      </c>
    </row>
    <row r="115" spans="1:8" x14ac:dyDescent="0.25">
      <c r="A115" s="10" t="s">
        <v>266</v>
      </c>
      <c r="B115" s="10" t="str">
        <f t="shared" si="1"/>
        <v>88962686002 AUTOMANN MEX MULTI LEAF SPRING TRX304955D</v>
      </c>
      <c r="C115" s="10">
        <v>11.07</v>
      </c>
      <c r="D115" s="10" t="s">
        <v>267</v>
      </c>
      <c r="E115" s="1" t="s">
        <v>48</v>
      </c>
      <c r="F115" s="1" t="s">
        <v>49</v>
      </c>
      <c r="G115" s="1" t="s">
        <v>50</v>
      </c>
      <c r="H115" s="1">
        <v>88962686002</v>
      </c>
    </row>
    <row r="116" spans="1:8" x14ac:dyDescent="0.25">
      <c r="A116" s="10" t="s">
        <v>268</v>
      </c>
      <c r="B116" s="10" t="str">
        <f>H116&amp;" "&amp;E116&amp;" "&amp;F116&amp;" "&amp;G116&amp;D116</f>
        <v>88962685897 AUTOMANN MEX MULTI LEAF SPRING TRX304957</v>
      </c>
      <c r="C116" s="10">
        <v>10.771000000000001</v>
      </c>
      <c r="D116" s="10" t="s">
        <v>269</v>
      </c>
      <c r="E116" s="1" t="s">
        <v>48</v>
      </c>
      <c r="F116" s="1" t="s">
        <v>49</v>
      </c>
      <c r="G116" s="1" t="s">
        <v>50</v>
      </c>
      <c r="H116" s="1">
        <v>88962685897</v>
      </c>
    </row>
    <row r="117" spans="1:8" x14ac:dyDescent="0.25">
      <c r="A117" s="10" t="s">
        <v>270</v>
      </c>
      <c r="B117" s="10" t="str">
        <f t="shared" si="1"/>
        <v>88962685999 AUTOMANN MEX MULTI LEAF SPRING TRX304960</v>
      </c>
      <c r="C117" s="10">
        <v>11.396000000000001</v>
      </c>
      <c r="D117" s="10" t="s">
        <v>271</v>
      </c>
      <c r="E117" s="1" t="s">
        <v>48</v>
      </c>
      <c r="F117" s="1" t="s">
        <v>49</v>
      </c>
      <c r="G117" s="1" t="s">
        <v>50</v>
      </c>
      <c r="H117" s="1">
        <v>88962685999</v>
      </c>
    </row>
    <row r="118" spans="1:8" x14ac:dyDescent="0.25">
      <c r="A118" s="10" t="s">
        <v>272</v>
      </c>
      <c r="B118" s="10" t="str">
        <f t="shared" si="1"/>
        <v>88962686012 AUTOMANN MEX MULTI LEAF SPRING TRX304972D</v>
      </c>
      <c r="C118" s="10">
        <v>14.211</v>
      </c>
      <c r="D118" s="10" t="s">
        <v>273</v>
      </c>
      <c r="E118" s="1" t="s">
        <v>48</v>
      </c>
      <c r="F118" s="1" t="s">
        <v>49</v>
      </c>
      <c r="G118" s="1" t="s">
        <v>50</v>
      </c>
      <c r="H118" s="1">
        <v>88962686012</v>
      </c>
    </row>
    <row r="119" spans="1:8" x14ac:dyDescent="0.25">
      <c r="A119" s="10" t="s">
        <v>274</v>
      </c>
      <c r="B119" s="10" t="str">
        <f t="shared" si="1"/>
        <v>88962686011 AUTOMANN MEX MULTI LEAF SPRING TRX304976</v>
      </c>
      <c r="C119" s="10">
        <v>14.319000000000001</v>
      </c>
      <c r="D119" s="10" t="s">
        <v>275</v>
      </c>
      <c r="E119" s="1" t="s">
        <v>48</v>
      </c>
      <c r="F119" s="1" t="s">
        <v>49</v>
      </c>
      <c r="G119" s="1" t="s">
        <v>50</v>
      </c>
      <c r="H119" s="1">
        <v>88962686011</v>
      </c>
    </row>
    <row r="120" spans="1:8" x14ac:dyDescent="0.25">
      <c r="A120" s="10" t="s">
        <v>276</v>
      </c>
      <c r="B120" s="10" t="str">
        <f t="shared" si="1"/>
        <v>88962685956 AUTOMANN MEX MULTI LEAF SPRING TRX701140</v>
      </c>
      <c r="C120" s="10">
        <v>6.0179999999999998</v>
      </c>
      <c r="D120" s="10" t="s">
        <v>277</v>
      </c>
      <c r="E120" s="1" t="s">
        <v>48</v>
      </c>
      <c r="F120" s="1" t="s">
        <v>49</v>
      </c>
      <c r="G120" s="1" t="s">
        <v>50</v>
      </c>
      <c r="H120" s="1">
        <v>88962685956</v>
      </c>
    </row>
    <row r="121" spans="1:8" x14ac:dyDescent="0.25">
      <c r="A121" s="10" t="s">
        <v>278</v>
      </c>
      <c r="B121" s="10" t="str">
        <f t="shared" si="1"/>
        <v>88962686059 AUTOMANN MEX TAPER LEAF SPRING 50202</v>
      </c>
      <c r="C121" s="10">
        <v>20.984999999999999</v>
      </c>
      <c r="D121" s="10">
        <v>50202</v>
      </c>
      <c r="E121" s="1" t="s">
        <v>48</v>
      </c>
      <c r="F121" s="1" t="s">
        <v>58</v>
      </c>
      <c r="G121" s="1" t="s">
        <v>50</v>
      </c>
      <c r="H121" s="1">
        <v>88962686059</v>
      </c>
    </row>
    <row r="122" spans="1:8" x14ac:dyDescent="0.25">
      <c r="A122" s="10" t="s">
        <v>279</v>
      </c>
      <c r="B122" s="10" t="str">
        <f t="shared" si="1"/>
        <v>88962686157 AUTOMANN MEX TAPER LEAF SPRING 442003</v>
      </c>
      <c r="C122" s="10">
        <v>17.584</v>
      </c>
      <c r="D122" s="10">
        <v>442003</v>
      </c>
      <c r="E122" s="1" t="s">
        <v>48</v>
      </c>
      <c r="F122" s="1" t="s">
        <v>58</v>
      </c>
      <c r="G122" s="1" t="s">
        <v>50</v>
      </c>
      <c r="H122" s="1">
        <v>88962686157</v>
      </c>
    </row>
    <row r="123" spans="1:8" x14ac:dyDescent="0.25">
      <c r="A123" s="10" t="s">
        <v>280</v>
      </c>
      <c r="B123" s="10" t="str">
        <f t="shared" si="1"/>
        <v>88962686103 AUTOMANN MEX TAPER LEAF SPRING 462201BJ</v>
      </c>
      <c r="C123" s="10">
        <v>15.848000000000001</v>
      </c>
      <c r="D123" s="10" t="s">
        <v>281</v>
      </c>
      <c r="E123" s="1" t="s">
        <v>48</v>
      </c>
      <c r="F123" s="1" t="s">
        <v>58</v>
      </c>
      <c r="G123" s="1" t="s">
        <v>50</v>
      </c>
      <c r="H123" s="1">
        <v>88962686103</v>
      </c>
    </row>
    <row r="124" spans="1:8" x14ac:dyDescent="0.25">
      <c r="A124" s="10" t="s">
        <v>282</v>
      </c>
      <c r="B124" s="10" t="str">
        <f t="shared" si="1"/>
        <v>88962686109 AUTOMANN MEX TAPER LEAF SPRING 942001</v>
      </c>
      <c r="C124" s="10">
        <v>20.234000000000002</v>
      </c>
      <c r="D124" s="10">
        <v>942001</v>
      </c>
      <c r="E124" s="1" t="s">
        <v>48</v>
      </c>
      <c r="F124" s="1" t="s">
        <v>58</v>
      </c>
      <c r="G124" s="1" t="s">
        <v>50</v>
      </c>
      <c r="H124" s="1">
        <v>88962686109</v>
      </c>
    </row>
    <row r="125" spans="1:8" x14ac:dyDescent="0.25">
      <c r="A125" s="10" t="s">
        <v>283</v>
      </c>
      <c r="B125" s="10" t="str">
        <f t="shared" si="1"/>
        <v>88962686107 AUTOMANN MEX TAPER LEAF SPRING 4612802</v>
      </c>
      <c r="C125" s="10">
        <v>20.53</v>
      </c>
      <c r="D125" s="10">
        <v>4612802</v>
      </c>
      <c r="E125" s="1" t="s">
        <v>48</v>
      </c>
      <c r="F125" s="1" t="s">
        <v>58</v>
      </c>
      <c r="G125" s="1" t="s">
        <v>50</v>
      </c>
      <c r="H125" s="1">
        <v>88962686107</v>
      </c>
    </row>
    <row r="126" spans="1:8" x14ac:dyDescent="0.25">
      <c r="A126" s="10" t="s">
        <v>284</v>
      </c>
      <c r="B126" s="10" t="str">
        <f t="shared" si="1"/>
        <v>88962686094 AUTOMANN MEX MULTI LEAF SPRING 44141F</v>
      </c>
      <c r="C126" s="10">
        <v>15.71</v>
      </c>
      <c r="D126" s="10" t="s">
        <v>285</v>
      </c>
      <c r="E126" s="1" t="s">
        <v>48</v>
      </c>
      <c r="F126" s="1" t="s">
        <v>49</v>
      </c>
      <c r="G126" s="1" t="s">
        <v>50</v>
      </c>
      <c r="H126" s="1">
        <v>88962686094</v>
      </c>
    </row>
    <row r="127" spans="1:8" x14ac:dyDescent="0.25">
      <c r="A127" s="10" t="s">
        <v>286</v>
      </c>
      <c r="B127" s="10" t="str">
        <f t="shared" si="1"/>
        <v>88962686178 AUTOMANN MEX TAPER LEAF SPRING 44300LO1BJ</v>
      </c>
      <c r="C127" s="10">
        <v>15.476000000000001</v>
      </c>
      <c r="D127" s="10" t="s">
        <v>287</v>
      </c>
      <c r="E127" s="1" t="s">
        <v>48</v>
      </c>
      <c r="F127" s="1" t="s">
        <v>58</v>
      </c>
      <c r="G127" s="1" t="s">
        <v>50</v>
      </c>
      <c r="H127" s="1">
        <v>88962686178</v>
      </c>
    </row>
    <row r="128" spans="1:8" x14ac:dyDescent="0.25">
      <c r="A128" s="10" t="s">
        <v>288</v>
      </c>
      <c r="B128" s="10" t="str">
        <f t="shared" si="1"/>
        <v>88962686125 AUTOMANN MEX TAPER LEAF SPRING 4612401BJ</v>
      </c>
      <c r="C128" s="10">
        <v>23.922999999999998</v>
      </c>
      <c r="D128" s="10" t="s">
        <v>289</v>
      </c>
      <c r="E128" s="1" t="s">
        <v>48</v>
      </c>
      <c r="F128" s="1" t="s">
        <v>58</v>
      </c>
      <c r="G128" s="1" t="s">
        <v>50</v>
      </c>
      <c r="H128" s="1">
        <v>88962686125</v>
      </c>
    </row>
    <row r="129" spans="1:8" x14ac:dyDescent="0.25">
      <c r="A129" s="10" t="s">
        <v>290</v>
      </c>
      <c r="B129" s="10" t="str">
        <f t="shared" si="1"/>
        <v>88962686127 AUTOMANN MEX TAPER LEAF SPRING 4612402</v>
      </c>
      <c r="C129" s="10">
        <v>19.811000000000003</v>
      </c>
      <c r="D129" s="10">
        <v>4612402</v>
      </c>
      <c r="E129" s="1" t="s">
        <v>48</v>
      </c>
      <c r="F129" s="1" t="s">
        <v>58</v>
      </c>
      <c r="G129" s="1" t="s">
        <v>50</v>
      </c>
      <c r="H129" s="1">
        <v>88962686127</v>
      </c>
    </row>
    <row r="130" spans="1:8" x14ac:dyDescent="0.25">
      <c r="A130" s="10" t="s">
        <v>291</v>
      </c>
      <c r="B130" s="10" t="str">
        <f t="shared" ref="B130:B192" si="2">H130&amp;" "&amp;E130&amp;" "&amp;F130&amp;" "&amp;G130&amp;D130</f>
        <v>88962686131 AUTOMANN MEX TAPER LEAF SPRING 4614321BJ</v>
      </c>
      <c r="C130" s="10">
        <v>25.909000000000002</v>
      </c>
      <c r="D130" s="10" t="s">
        <v>292</v>
      </c>
      <c r="E130" s="1" t="s">
        <v>48</v>
      </c>
      <c r="F130" s="1" t="s">
        <v>58</v>
      </c>
      <c r="G130" s="1" t="s">
        <v>50</v>
      </c>
      <c r="H130" s="1">
        <v>88962686131</v>
      </c>
    </row>
    <row r="131" spans="1:8" x14ac:dyDescent="0.25">
      <c r="A131" s="10" t="s">
        <v>293</v>
      </c>
      <c r="B131" s="10" t="str">
        <f t="shared" si="2"/>
        <v>88962686058 AUTOMANN MEX TAPER LEAF SPRING 4614621BJ</v>
      </c>
      <c r="C131" s="10">
        <v>18.428999999999998</v>
      </c>
      <c r="D131" s="10" t="s">
        <v>294</v>
      </c>
      <c r="E131" s="1" t="s">
        <v>48</v>
      </c>
      <c r="F131" s="1" t="s">
        <v>58</v>
      </c>
      <c r="G131" s="1" t="s">
        <v>50</v>
      </c>
      <c r="H131" s="1">
        <v>88962686058</v>
      </c>
    </row>
    <row r="132" spans="1:8" x14ac:dyDescent="0.25">
      <c r="A132" s="10" t="s">
        <v>295</v>
      </c>
      <c r="B132" s="10" t="str">
        <f t="shared" si="2"/>
        <v>88962686130 AUTOMANN MEX TAPER LEAF SPRING 461464R2D</v>
      </c>
      <c r="C132" s="10">
        <v>19.518000000000001</v>
      </c>
      <c r="D132" s="10" t="s">
        <v>296</v>
      </c>
      <c r="E132" s="1" t="s">
        <v>48</v>
      </c>
      <c r="F132" s="1" t="s">
        <v>58</v>
      </c>
      <c r="G132" s="1" t="s">
        <v>50</v>
      </c>
      <c r="H132" s="1">
        <v>88962686130</v>
      </c>
    </row>
    <row r="133" spans="1:8" x14ac:dyDescent="0.25">
      <c r="A133" s="10" t="s">
        <v>297</v>
      </c>
      <c r="B133" s="10" t="str">
        <f t="shared" si="2"/>
        <v>88962686143 AUTOMANN MEX TAPER LEAF SPRING 50220M1BJ</v>
      </c>
      <c r="C133" s="10">
        <v>25.123999999999999</v>
      </c>
      <c r="D133" s="10" t="s">
        <v>298</v>
      </c>
      <c r="E133" s="1" t="s">
        <v>48</v>
      </c>
      <c r="F133" s="1" t="s">
        <v>58</v>
      </c>
      <c r="G133" s="1" t="s">
        <v>50</v>
      </c>
      <c r="H133" s="1">
        <v>88962686143</v>
      </c>
    </row>
    <row r="134" spans="1:8" x14ac:dyDescent="0.25">
      <c r="A134" s="10" t="s">
        <v>299</v>
      </c>
      <c r="B134" s="10" t="str">
        <f t="shared" si="2"/>
        <v>88962686146 AUTOMANN MEX TAPER LEAF SPRING 5512161BJ</v>
      </c>
      <c r="C134" s="10">
        <v>22.754999999999999</v>
      </c>
      <c r="D134" s="10" t="s">
        <v>300</v>
      </c>
      <c r="E134" s="1" t="s">
        <v>48</v>
      </c>
      <c r="F134" s="1" t="s">
        <v>58</v>
      </c>
      <c r="G134" s="1" t="s">
        <v>50</v>
      </c>
      <c r="H134" s="1">
        <v>88962686146</v>
      </c>
    </row>
    <row r="135" spans="1:8" x14ac:dyDescent="0.25">
      <c r="A135" s="10" t="s">
        <v>301</v>
      </c>
      <c r="B135" s="10" t="str">
        <f t="shared" si="2"/>
        <v>88962689932 AUTOMANN MEX TAPER LEAF SPRING 5512162D</v>
      </c>
      <c r="C135" s="10">
        <v>20.417000000000002</v>
      </c>
      <c r="D135" s="10" t="s">
        <v>302</v>
      </c>
      <c r="E135" s="1" t="s">
        <v>48</v>
      </c>
      <c r="F135" s="1" t="s">
        <v>58</v>
      </c>
      <c r="G135" s="1" t="s">
        <v>50</v>
      </c>
      <c r="H135" s="1">
        <v>88962689932</v>
      </c>
    </row>
    <row r="136" spans="1:8" x14ac:dyDescent="0.25">
      <c r="A136" s="10" t="s">
        <v>303</v>
      </c>
      <c r="B136" s="10" t="str">
        <f t="shared" si="2"/>
        <v>88962686135 AUTOMANN MEX TAPER LEAF SPRING 5512181BJ</v>
      </c>
      <c r="C136" s="10">
        <v>27.126000000000001</v>
      </c>
      <c r="D136" s="10" t="s">
        <v>304</v>
      </c>
      <c r="E136" s="1" t="s">
        <v>48</v>
      </c>
      <c r="F136" s="1" t="s">
        <v>58</v>
      </c>
      <c r="G136" s="1" t="s">
        <v>50</v>
      </c>
      <c r="H136" s="1">
        <v>88962686135</v>
      </c>
    </row>
    <row r="137" spans="1:8" x14ac:dyDescent="0.25">
      <c r="A137" s="10" t="s">
        <v>305</v>
      </c>
      <c r="B137" s="10" t="str">
        <f t="shared" si="2"/>
        <v>88962686137 AUTOMANN MEX TAPER LEAF SPRING 5512182D</v>
      </c>
      <c r="C137" s="10">
        <v>25.469000000000001</v>
      </c>
      <c r="D137" s="10" t="s">
        <v>306</v>
      </c>
      <c r="E137" s="1" t="s">
        <v>48</v>
      </c>
      <c r="F137" s="1" t="s">
        <v>58</v>
      </c>
      <c r="G137" s="1" t="s">
        <v>50</v>
      </c>
      <c r="H137" s="1">
        <v>88962686137</v>
      </c>
    </row>
    <row r="138" spans="1:8" x14ac:dyDescent="0.25">
      <c r="A138" s="10" t="s">
        <v>307</v>
      </c>
      <c r="B138" s="10" t="str">
        <f t="shared" si="2"/>
        <v>88962686111 AUTOMANN MEX TAPER LEAF SPRING 594081BJ</v>
      </c>
      <c r="C138" s="10">
        <v>17.899999999999999</v>
      </c>
      <c r="D138" s="10" t="s">
        <v>308</v>
      </c>
      <c r="E138" s="1" t="s">
        <v>48</v>
      </c>
      <c r="F138" s="1" t="s">
        <v>58</v>
      </c>
      <c r="G138" s="1" t="s">
        <v>50</v>
      </c>
      <c r="H138" s="1">
        <v>88962686111</v>
      </c>
    </row>
    <row r="139" spans="1:8" x14ac:dyDescent="0.25">
      <c r="A139" s="10" t="s">
        <v>309</v>
      </c>
      <c r="B139" s="10" t="str">
        <f t="shared" si="2"/>
        <v>88962686141 AUTOMANN MEX TAPER LEAF SPRING 59428M1BJ</v>
      </c>
      <c r="C139" s="10">
        <v>28.997</v>
      </c>
      <c r="D139" s="10" t="s">
        <v>310</v>
      </c>
      <c r="E139" s="1" t="s">
        <v>48</v>
      </c>
      <c r="F139" s="1" t="s">
        <v>58</v>
      </c>
      <c r="G139" s="1" t="s">
        <v>50</v>
      </c>
      <c r="H139" s="1">
        <v>88962686141</v>
      </c>
    </row>
    <row r="140" spans="1:8" x14ac:dyDescent="0.25">
      <c r="A140" s="10" t="s">
        <v>311</v>
      </c>
      <c r="B140" s="10" t="str">
        <f t="shared" si="2"/>
        <v>88962686142 AUTOMANN MEX TAPER LEAF SPRING 59428M-2</v>
      </c>
      <c r="C140" s="10">
        <v>27.446999999999999</v>
      </c>
      <c r="D140" s="10" t="s">
        <v>312</v>
      </c>
      <c r="E140" s="1" t="s">
        <v>48</v>
      </c>
      <c r="F140" s="1" t="s">
        <v>58</v>
      </c>
      <c r="G140" s="1" t="s">
        <v>50</v>
      </c>
      <c r="H140" s="1">
        <v>88962686142</v>
      </c>
    </row>
    <row r="141" spans="1:8" x14ac:dyDescent="0.25">
      <c r="A141" s="10" t="s">
        <v>313</v>
      </c>
      <c r="B141" s="10" t="str">
        <f t="shared" si="2"/>
        <v>88962686139 AUTOMANN MEX TAPER LEAF SPRING 594681BJ</v>
      </c>
      <c r="C141" s="10">
        <v>26.501000000000001</v>
      </c>
      <c r="D141" s="10" t="s">
        <v>314</v>
      </c>
      <c r="E141" s="1" t="s">
        <v>48</v>
      </c>
      <c r="F141" s="1" t="s">
        <v>58</v>
      </c>
      <c r="G141" s="1" t="s">
        <v>50</v>
      </c>
      <c r="H141" s="1">
        <v>88962686139</v>
      </c>
    </row>
    <row r="142" spans="1:8" x14ac:dyDescent="0.25">
      <c r="A142" s="10" t="s">
        <v>315</v>
      </c>
      <c r="B142" s="10" t="str">
        <f t="shared" si="2"/>
        <v>88962686140 AUTOMANN MEX TAPER LEAF SPRING 594682D</v>
      </c>
      <c r="C142" s="10">
        <v>24.62</v>
      </c>
      <c r="D142" s="10" t="s">
        <v>316</v>
      </c>
      <c r="E142" s="1" t="s">
        <v>48</v>
      </c>
      <c r="F142" s="1" t="s">
        <v>58</v>
      </c>
      <c r="G142" s="1" t="s">
        <v>50</v>
      </c>
      <c r="H142" s="1">
        <v>88962686140</v>
      </c>
    </row>
    <row r="143" spans="1:8" x14ac:dyDescent="0.25">
      <c r="A143" s="10" t="s">
        <v>317</v>
      </c>
      <c r="B143" s="10" t="str">
        <f t="shared" si="2"/>
        <v>88962686121 AUTOMANN MEX TAPER LEAF SPRING 70138C1BJ</v>
      </c>
      <c r="C143" s="10">
        <v>24.825999999999997</v>
      </c>
      <c r="D143" s="10" t="s">
        <v>318</v>
      </c>
      <c r="E143" s="1" t="s">
        <v>48</v>
      </c>
      <c r="F143" s="1" t="s">
        <v>58</v>
      </c>
      <c r="G143" s="1" t="s">
        <v>50</v>
      </c>
      <c r="H143" s="1">
        <v>88962686121</v>
      </c>
    </row>
    <row r="144" spans="1:8" x14ac:dyDescent="0.25">
      <c r="A144" s="10" t="s">
        <v>319</v>
      </c>
      <c r="B144" s="10" t="str">
        <f t="shared" si="2"/>
        <v>88962686122 AUTOMANN MEX TAPER LEAF SPRING 70138C2</v>
      </c>
      <c r="C144" s="10">
        <v>23.58</v>
      </c>
      <c r="D144" s="10" t="s">
        <v>320</v>
      </c>
      <c r="E144" s="1" t="s">
        <v>48</v>
      </c>
      <c r="F144" s="1" t="s">
        <v>58</v>
      </c>
      <c r="G144" s="1" t="s">
        <v>50</v>
      </c>
      <c r="H144" s="1">
        <v>88962686122</v>
      </c>
    </row>
    <row r="145" spans="1:8" x14ac:dyDescent="0.25">
      <c r="A145" s="10" t="s">
        <v>321</v>
      </c>
      <c r="B145" s="10" t="str">
        <f t="shared" si="2"/>
        <v>88962686123 AUTOMANN MEX TAPER LEAF SPRING 70138C3</v>
      </c>
      <c r="C145" s="10">
        <v>21.65</v>
      </c>
      <c r="D145" s="10" t="s">
        <v>322</v>
      </c>
      <c r="E145" s="1" t="s">
        <v>48</v>
      </c>
      <c r="F145" s="1" t="s">
        <v>58</v>
      </c>
      <c r="G145" s="1" t="s">
        <v>50</v>
      </c>
      <c r="H145" s="1">
        <v>88962686123</v>
      </c>
    </row>
    <row r="146" spans="1:8" x14ac:dyDescent="0.25">
      <c r="A146" s="10" t="s">
        <v>323</v>
      </c>
      <c r="B146" s="10" t="str">
        <f t="shared" si="2"/>
        <v>88962686110 AUTOMANN MEX TAPER LEAF SPRING 81141FR</v>
      </c>
      <c r="C146" s="10">
        <v>17.659000000000002</v>
      </c>
      <c r="D146" s="10" t="s">
        <v>324</v>
      </c>
      <c r="E146" s="1" t="s">
        <v>48</v>
      </c>
      <c r="F146" s="1" t="s">
        <v>58</v>
      </c>
      <c r="G146" s="1" t="s">
        <v>50</v>
      </c>
      <c r="H146" s="1">
        <v>88962686110</v>
      </c>
    </row>
    <row r="147" spans="1:8" x14ac:dyDescent="0.25">
      <c r="A147" s="10" t="s">
        <v>325</v>
      </c>
      <c r="B147" s="10" t="str">
        <f t="shared" si="2"/>
        <v>88962686119 AUTOMANN MEX TAPER LEAF SPRING 81142ED</v>
      </c>
      <c r="C147" s="10">
        <v>21.914999999999999</v>
      </c>
      <c r="D147" s="10" t="s">
        <v>326</v>
      </c>
      <c r="E147" s="1" t="s">
        <v>48</v>
      </c>
      <c r="F147" s="1" t="s">
        <v>58</v>
      </c>
      <c r="G147" s="1" t="s">
        <v>50</v>
      </c>
      <c r="H147" s="1">
        <v>88962686119</v>
      </c>
    </row>
    <row r="148" spans="1:8" x14ac:dyDescent="0.25">
      <c r="A148" s="10" t="s">
        <v>327</v>
      </c>
      <c r="B148" s="10" t="str">
        <f t="shared" si="2"/>
        <v>88962686120 AUTOMANN MEX TAPER LEAF SPRING 81143E</v>
      </c>
      <c r="C148" s="10">
        <v>22.911000000000001</v>
      </c>
      <c r="D148" s="10" t="s">
        <v>328</v>
      </c>
      <c r="E148" s="1" t="s">
        <v>48</v>
      </c>
      <c r="F148" s="1" t="s">
        <v>58</v>
      </c>
      <c r="G148" s="1" t="s">
        <v>50</v>
      </c>
      <c r="H148" s="1">
        <v>88962686120</v>
      </c>
    </row>
    <row r="149" spans="1:8" x14ac:dyDescent="0.25">
      <c r="A149" s="10" t="s">
        <v>329</v>
      </c>
      <c r="B149" s="10" t="str">
        <f t="shared" si="2"/>
        <v>88962686115 AUTOMANN MEX TAPER LEAF SPRING LA44632</v>
      </c>
      <c r="C149" s="10">
        <v>23.795999999999999</v>
      </c>
      <c r="D149" s="10" t="s">
        <v>330</v>
      </c>
      <c r="E149" s="1" t="s">
        <v>48</v>
      </c>
      <c r="F149" s="1" t="s">
        <v>58</v>
      </c>
      <c r="G149" s="1" t="s">
        <v>50</v>
      </c>
      <c r="H149" s="1">
        <v>88962686115</v>
      </c>
    </row>
    <row r="150" spans="1:8" x14ac:dyDescent="0.25">
      <c r="A150" s="10" t="s">
        <v>331</v>
      </c>
      <c r="B150" s="10" t="str">
        <f t="shared" si="2"/>
        <v>88962686117 AUTOMANN MEX TAPER LEAF SPRING LA695A2</v>
      </c>
      <c r="C150" s="10">
        <v>20.902999999999999</v>
      </c>
      <c r="D150" s="10" t="s">
        <v>332</v>
      </c>
      <c r="E150" s="1" t="s">
        <v>48</v>
      </c>
      <c r="F150" s="1" t="s">
        <v>58</v>
      </c>
      <c r="G150" s="1" t="s">
        <v>50</v>
      </c>
      <c r="H150" s="1">
        <v>88962686117</v>
      </c>
    </row>
    <row r="151" spans="1:8" x14ac:dyDescent="0.25">
      <c r="A151" s="10" t="s">
        <v>333</v>
      </c>
      <c r="B151" s="10" t="str">
        <f t="shared" si="2"/>
        <v>88962686124 AUTOMANN MEX TAPER LEAF SPRING SLRNA197P1BJ</v>
      </c>
      <c r="C151" s="10">
        <v>21.308</v>
      </c>
      <c r="D151" s="10" t="s">
        <v>334</v>
      </c>
      <c r="E151" s="1" t="s">
        <v>48</v>
      </c>
      <c r="F151" s="1" t="s">
        <v>58</v>
      </c>
      <c r="G151" s="1" t="s">
        <v>50</v>
      </c>
      <c r="H151" s="1">
        <v>88962686124</v>
      </c>
    </row>
    <row r="152" spans="1:8" x14ac:dyDescent="0.25">
      <c r="A152" s="10" t="s">
        <v>335</v>
      </c>
      <c r="B152" s="10" t="str">
        <f t="shared" si="2"/>
        <v>88962624500 AUTOMANN MEX TAPER/ZETA LEAF SPRING TRA074XAL</v>
      </c>
      <c r="C152" s="10">
        <v>20.448</v>
      </c>
      <c r="D152" s="10" t="s">
        <v>336</v>
      </c>
      <c r="E152" s="1" t="s">
        <v>48</v>
      </c>
      <c r="F152" s="1" t="s">
        <v>160</v>
      </c>
      <c r="G152" s="1" t="s">
        <v>50</v>
      </c>
      <c r="H152" s="1">
        <v>88962624500</v>
      </c>
    </row>
    <row r="153" spans="1:8" x14ac:dyDescent="0.25">
      <c r="A153" s="10" t="s">
        <v>337</v>
      </c>
      <c r="B153" s="10" t="str">
        <f t="shared" si="2"/>
        <v>88962622702 AUTOMANN MEX MC-MULTI LEAF SPRING TRA2727</v>
      </c>
      <c r="C153" s="10">
        <v>24.212</v>
      </c>
      <c r="D153" s="10" t="s">
        <v>338</v>
      </c>
      <c r="E153" s="1" t="s">
        <v>48</v>
      </c>
      <c r="F153" s="1" t="s">
        <v>221</v>
      </c>
      <c r="G153" s="1" t="s">
        <v>50</v>
      </c>
      <c r="H153" s="1">
        <v>88962622702</v>
      </c>
    </row>
    <row r="154" spans="1:8" x14ac:dyDescent="0.25">
      <c r="A154" s="10" t="s">
        <v>339</v>
      </c>
      <c r="B154" s="10" t="str">
        <f t="shared" si="2"/>
        <v>88962689933 AUTOMANN MEX TAPER LEAF SPRING 437781</v>
      </c>
      <c r="C154" s="10">
        <v>11.291</v>
      </c>
      <c r="D154" s="10">
        <v>437781</v>
      </c>
      <c r="E154" s="1" t="s">
        <v>48</v>
      </c>
      <c r="F154" s="1" t="s">
        <v>58</v>
      </c>
      <c r="G154" s="1" t="s">
        <v>50</v>
      </c>
      <c r="H154" s="1">
        <v>88962689933</v>
      </c>
    </row>
    <row r="155" spans="1:8" x14ac:dyDescent="0.25">
      <c r="A155" s="10" t="s">
        <v>340</v>
      </c>
      <c r="B155" s="10" t="str">
        <f t="shared" si="2"/>
        <v>88962689936 AUTOMANN MEX TAPER LEAF SPRING 4612441BJ</v>
      </c>
      <c r="C155" s="10">
        <v>16.966000000000001</v>
      </c>
      <c r="D155" s="10" t="s">
        <v>341</v>
      </c>
      <c r="E155" s="1" t="s">
        <v>48</v>
      </c>
      <c r="F155" s="1" t="s">
        <v>58</v>
      </c>
      <c r="G155" s="1" t="s">
        <v>50</v>
      </c>
      <c r="H155" s="1">
        <v>88962689936</v>
      </c>
    </row>
    <row r="156" spans="1:8" x14ac:dyDescent="0.25">
      <c r="A156" s="10" t="s">
        <v>342</v>
      </c>
      <c r="B156" s="10" t="str">
        <f t="shared" si="2"/>
        <v>88962689937 AUTOMANN MEX TAPER LEAF SPRING 4612442</v>
      </c>
      <c r="C156" s="10">
        <v>15.76</v>
      </c>
      <c r="D156" s="10">
        <v>4612442</v>
      </c>
      <c r="E156" s="1" t="s">
        <v>48</v>
      </c>
      <c r="F156" s="1" t="s">
        <v>58</v>
      </c>
      <c r="G156" s="1" t="s">
        <v>50</v>
      </c>
      <c r="H156" s="1">
        <v>88962689937</v>
      </c>
    </row>
    <row r="157" spans="1:8" x14ac:dyDescent="0.25">
      <c r="A157" s="10" t="s">
        <v>343</v>
      </c>
      <c r="B157" s="10" t="str">
        <f t="shared" si="2"/>
        <v>88962689944 AUTOMANN MEX TAPER LEAF SPRING 4614943D</v>
      </c>
      <c r="C157" s="10">
        <v>18.971</v>
      </c>
      <c r="D157" s="10" t="s">
        <v>344</v>
      </c>
      <c r="E157" s="1" t="s">
        <v>48</v>
      </c>
      <c r="F157" s="1" t="s">
        <v>58</v>
      </c>
      <c r="G157" s="1" t="s">
        <v>50</v>
      </c>
      <c r="H157" s="1">
        <v>88962689944</v>
      </c>
    </row>
    <row r="158" spans="1:8" x14ac:dyDescent="0.25">
      <c r="A158" s="10" t="s">
        <v>345</v>
      </c>
      <c r="B158" s="10" t="str">
        <f t="shared" si="2"/>
        <v>88962689948 AUTOMANN MEX TAPER LEAF SPRING 461742D</v>
      </c>
      <c r="C158" s="10">
        <v>29.094999999999999</v>
      </c>
      <c r="D158" s="10" t="s">
        <v>346</v>
      </c>
      <c r="E158" s="1" t="s">
        <v>48</v>
      </c>
      <c r="F158" s="1" t="s">
        <v>58</v>
      </c>
      <c r="G158" s="1" t="s">
        <v>50</v>
      </c>
      <c r="H158" s="1">
        <v>88962689948</v>
      </c>
    </row>
    <row r="159" spans="1:8" x14ac:dyDescent="0.25">
      <c r="A159" s="10" t="s">
        <v>347</v>
      </c>
      <c r="B159" s="10" t="str">
        <f>H159&amp;" "&amp;E159&amp;" "&amp;F159&amp;" "&amp;G159&amp;D159</f>
        <v>88962686113 AUTOMANN MEX MC-TAPER LEAF SPRING 551326</v>
      </c>
      <c r="C159" s="10">
        <v>43.656999999999996</v>
      </c>
      <c r="D159" s="10">
        <v>551326</v>
      </c>
      <c r="E159" s="1" t="s">
        <v>48</v>
      </c>
      <c r="F159" s="1" t="s">
        <v>348</v>
      </c>
      <c r="G159" s="1" t="s">
        <v>50</v>
      </c>
      <c r="H159" s="1">
        <v>88962686113</v>
      </c>
    </row>
    <row r="160" spans="1:8" x14ac:dyDescent="0.25">
      <c r="A160" s="10" t="s">
        <v>349</v>
      </c>
      <c r="B160" s="10" t="str">
        <f t="shared" si="2"/>
        <v>88962686050 AUTOMANN MEX TAPER LEAF SPRING 4612171</v>
      </c>
      <c r="C160" s="10">
        <v>27</v>
      </c>
      <c r="D160" s="10">
        <v>4612171</v>
      </c>
      <c r="E160" s="1" t="s">
        <v>48</v>
      </c>
      <c r="F160" s="1" t="s">
        <v>58</v>
      </c>
      <c r="G160" s="1" t="s">
        <v>50</v>
      </c>
      <c r="H160" s="1">
        <v>88962686050</v>
      </c>
    </row>
    <row r="161" spans="1:8" x14ac:dyDescent="0.25">
      <c r="A161" s="10" t="s">
        <v>350</v>
      </c>
      <c r="B161" s="10" t="str">
        <f t="shared" si="2"/>
        <v>88962686184 AUTOMANN MEX MC-MULTI LEAF SPRING 45170A</v>
      </c>
      <c r="C161" s="10">
        <v>125.416</v>
      </c>
      <c r="D161" s="10" t="s">
        <v>351</v>
      </c>
      <c r="E161" s="1" t="s">
        <v>48</v>
      </c>
      <c r="F161" s="1" t="s">
        <v>221</v>
      </c>
      <c r="G161" s="1" t="s">
        <v>50</v>
      </c>
      <c r="H161" s="1">
        <v>88962686184</v>
      </c>
    </row>
    <row r="162" spans="1:8" x14ac:dyDescent="0.25">
      <c r="A162" s="10" t="s">
        <v>352</v>
      </c>
      <c r="B162" s="10" t="str">
        <f t="shared" si="2"/>
        <v>88962685886 AUTOMANN MEX MC-MULTI LEAF SPRING 71175A</v>
      </c>
      <c r="C162" s="10">
        <v>72.546999999999997</v>
      </c>
      <c r="D162" s="10" t="s">
        <v>353</v>
      </c>
      <c r="E162" s="1" t="s">
        <v>48</v>
      </c>
      <c r="F162" s="1" t="s">
        <v>221</v>
      </c>
      <c r="G162" s="1" t="s">
        <v>50</v>
      </c>
      <c r="H162" s="1">
        <v>88962685886</v>
      </c>
    </row>
    <row r="163" spans="1:8" x14ac:dyDescent="0.25">
      <c r="A163" s="10" t="s">
        <v>354</v>
      </c>
      <c r="B163" s="10" t="str">
        <f t="shared" si="2"/>
        <v>88962686144 AUTOMANN MEX TAPER/ZETA LEAF SPRING 50389XAL</v>
      </c>
      <c r="C163" s="10">
        <v>29.48</v>
      </c>
      <c r="D163" s="10" t="s">
        <v>355</v>
      </c>
      <c r="E163" s="1" t="s">
        <v>48</v>
      </c>
      <c r="F163" s="1" t="s">
        <v>160</v>
      </c>
      <c r="G163" s="1" t="s">
        <v>50</v>
      </c>
      <c r="H163" s="1">
        <v>88962686144</v>
      </c>
    </row>
    <row r="164" spans="1:8" x14ac:dyDescent="0.25">
      <c r="A164" s="10" t="s">
        <v>356</v>
      </c>
      <c r="B164" s="10" t="str">
        <f t="shared" si="2"/>
        <v>88962624501 AUTOMANN MEX TAPER/ZETA LEAF SPRING TRA075XAL</v>
      </c>
      <c r="C164" s="10">
        <v>17.239999999999998</v>
      </c>
      <c r="D164" s="10" t="s">
        <v>357</v>
      </c>
      <c r="E164" s="1" t="s">
        <v>48</v>
      </c>
      <c r="F164" s="1" t="s">
        <v>160</v>
      </c>
      <c r="G164" s="1" t="s">
        <v>50</v>
      </c>
      <c r="H164" s="1">
        <v>88962624501</v>
      </c>
    </row>
    <row r="165" spans="1:8" x14ac:dyDescent="0.25">
      <c r="A165" s="10" t="s">
        <v>358</v>
      </c>
      <c r="B165" s="10" t="str">
        <f t="shared" si="2"/>
        <v>88962686194 AUTOMANN MEX MC-MULTI LEAF SPRING SW4B</v>
      </c>
      <c r="C165" s="10">
        <v>6.5500000000000007</v>
      </c>
      <c r="D165" s="10" t="s">
        <v>359</v>
      </c>
      <c r="E165" s="1" t="s">
        <v>48</v>
      </c>
      <c r="F165" s="1" t="s">
        <v>221</v>
      </c>
      <c r="G165" s="1" t="s">
        <v>50</v>
      </c>
      <c r="H165" s="1">
        <v>88962686194</v>
      </c>
    </row>
    <row r="166" spans="1:8" x14ac:dyDescent="0.25">
      <c r="A166" s="10" t="s">
        <v>360</v>
      </c>
      <c r="B166" s="10" t="str">
        <f t="shared" si="2"/>
        <v>88962685859 AUTOMANN MEX MULTI LEAF SPRING 9017532365</v>
      </c>
      <c r="C166" s="10">
        <v>4.62</v>
      </c>
      <c r="D166" s="10">
        <v>9017532365</v>
      </c>
      <c r="E166" s="1" t="s">
        <v>48</v>
      </c>
      <c r="F166" s="1" t="s">
        <v>49</v>
      </c>
      <c r="G166" s="1" t="s">
        <v>50</v>
      </c>
      <c r="H166" s="1">
        <v>88962685859</v>
      </c>
    </row>
    <row r="167" spans="1:8" x14ac:dyDescent="0.25">
      <c r="A167" s="10" t="s">
        <v>361</v>
      </c>
      <c r="B167" s="10" t="str">
        <f t="shared" si="2"/>
        <v>88962686118 AUTOMANN MEX TAPER LEAF SPRING 81141EBJ</v>
      </c>
      <c r="C167" s="10">
        <v>22.911000000000001</v>
      </c>
      <c r="D167" s="10" t="s">
        <v>362</v>
      </c>
      <c r="E167" s="1" t="s">
        <v>48</v>
      </c>
      <c r="F167" s="1" t="s">
        <v>58</v>
      </c>
      <c r="G167" s="1" t="s">
        <v>50</v>
      </c>
      <c r="H167" s="1">
        <v>88962686118</v>
      </c>
    </row>
    <row r="168" spans="1:8" x14ac:dyDescent="0.25">
      <c r="A168" s="10" t="s">
        <v>363</v>
      </c>
      <c r="B168" s="10" t="str">
        <f t="shared" si="2"/>
        <v>88962686133 AUTOMANN MEX TAPER LEAF SPRING 9613081BJ</v>
      </c>
      <c r="C168" s="10">
        <v>26.91</v>
      </c>
      <c r="D168" s="10" t="s">
        <v>364</v>
      </c>
      <c r="E168" s="1" t="s">
        <v>48</v>
      </c>
      <c r="F168" s="1" t="s">
        <v>58</v>
      </c>
      <c r="G168" s="1" t="s">
        <v>50</v>
      </c>
      <c r="H168" s="1">
        <v>88962686133</v>
      </c>
    </row>
    <row r="169" spans="1:8" x14ac:dyDescent="0.25">
      <c r="A169" s="10" t="s">
        <v>365</v>
      </c>
      <c r="B169" s="10" t="str">
        <f t="shared" si="2"/>
        <v>88962686062 AUTOMANN MEX TAPER LEAF SPRING 452001BJ</v>
      </c>
      <c r="C169" s="10">
        <v>31.277000000000001</v>
      </c>
      <c r="D169" s="10" t="s">
        <v>366</v>
      </c>
      <c r="E169" s="1" t="s">
        <v>48</v>
      </c>
      <c r="F169" s="1" t="s">
        <v>58</v>
      </c>
      <c r="G169" s="1" t="s">
        <v>50</v>
      </c>
      <c r="H169" s="1">
        <v>88962686062</v>
      </c>
    </row>
    <row r="170" spans="1:8" x14ac:dyDescent="0.25">
      <c r="A170" s="10" t="s">
        <v>367</v>
      </c>
      <c r="B170" s="10" t="str">
        <f t="shared" si="2"/>
        <v>88962686052 AUTOMANN MEX TAPER LEAF SPRING 711581</v>
      </c>
      <c r="C170" s="10">
        <v>12.66</v>
      </c>
      <c r="D170" s="10">
        <v>711581</v>
      </c>
      <c r="E170" s="1" t="s">
        <v>48</v>
      </c>
      <c r="F170" s="1" t="s">
        <v>58</v>
      </c>
      <c r="G170" s="1" t="s">
        <v>50</v>
      </c>
      <c r="H170" s="1">
        <v>88962686052</v>
      </c>
    </row>
    <row r="171" spans="1:8" x14ac:dyDescent="0.25">
      <c r="A171" s="10" t="s">
        <v>368</v>
      </c>
      <c r="B171" s="10" t="str">
        <f t="shared" si="2"/>
        <v>88962686080 AUTOMANN MEX MULTI LEAF SPRING BKT1001M</v>
      </c>
      <c r="C171" s="10">
        <v>3.9609999999999999</v>
      </c>
      <c r="D171" s="10" t="s">
        <v>369</v>
      </c>
      <c r="E171" s="1" t="s">
        <v>48</v>
      </c>
      <c r="F171" s="1" t="s">
        <v>49</v>
      </c>
      <c r="G171" s="1" t="s">
        <v>50</v>
      </c>
      <c r="H171" s="1">
        <v>88962686080</v>
      </c>
    </row>
    <row r="172" spans="1:8" x14ac:dyDescent="0.25">
      <c r="A172" s="10" t="s">
        <v>370</v>
      </c>
      <c r="B172" s="10" t="str">
        <f t="shared" si="2"/>
        <v>88962686155 AUTOMANN MEX TAPER LEAF SPRING 442001BJ</v>
      </c>
      <c r="C172" s="10">
        <v>20.643999999999998</v>
      </c>
      <c r="D172" s="10" t="s">
        <v>371</v>
      </c>
      <c r="E172" s="1" t="s">
        <v>48</v>
      </c>
      <c r="F172" s="1" t="s">
        <v>58</v>
      </c>
      <c r="G172" s="1" t="s">
        <v>50</v>
      </c>
      <c r="H172" s="1">
        <v>88962686155</v>
      </c>
    </row>
    <row r="173" spans="1:8" x14ac:dyDescent="0.25">
      <c r="A173" s="10" t="s">
        <v>372</v>
      </c>
      <c r="B173" s="10" t="str">
        <f t="shared" si="2"/>
        <v>88962686129 AUTOMANN MEX TAPER LEAF SPRING 4614641BJ</v>
      </c>
      <c r="C173" s="10">
        <v>24.829000000000001</v>
      </c>
      <c r="D173" s="10" t="s">
        <v>373</v>
      </c>
      <c r="E173" s="1" t="s">
        <v>48</v>
      </c>
      <c r="F173" s="1" t="s">
        <v>58</v>
      </c>
      <c r="G173" s="1" t="s">
        <v>50</v>
      </c>
      <c r="H173" s="1">
        <v>88962686129</v>
      </c>
    </row>
    <row r="174" spans="1:8" x14ac:dyDescent="0.25">
      <c r="A174" s="10" t="s">
        <v>374</v>
      </c>
      <c r="B174" s="10" t="str">
        <f t="shared" si="2"/>
        <v>88962686114 AUTOMANN MEX TAPER LEAF SPRING LA44631BJ</v>
      </c>
      <c r="C174" s="10">
        <v>22.818000000000001</v>
      </c>
      <c r="D174" s="10" t="s">
        <v>375</v>
      </c>
      <c r="E174" s="1" t="s">
        <v>48</v>
      </c>
      <c r="F174" s="1" t="s">
        <v>58</v>
      </c>
      <c r="G174" s="1" t="s">
        <v>50</v>
      </c>
      <c r="H174" s="1">
        <v>88962686114</v>
      </c>
    </row>
    <row r="175" spans="1:8" x14ac:dyDescent="0.25">
      <c r="A175" s="10" t="s">
        <v>376</v>
      </c>
      <c r="B175" s="10" t="str">
        <f t="shared" si="2"/>
        <v>88962686106 AUTOMANN MEX TAPER LEAF SPRING 4612801BJ</v>
      </c>
      <c r="C175" s="10">
        <v>21.401</v>
      </c>
      <c r="D175" s="10" t="s">
        <v>377</v>
      </c>
      <c r="E175" s="1" t="s">
        <v>48</v>
      </c>
      <c r="F175" s="1" t="s">
        <v>58</v>
      </c>
      <c r="G175" s="1" t="s">
        <v>50</v>
      </c>
      <c r="H175" s="1">
        <v>88962686106</v>
      </c>
    </row>
    <row r="176" spans="1:8" x14ac:dyDescent="0.25">
      <c r="A176" s="10" t="s">
        <v>378</v>
      </c>
      <c r="B176" s="10" t="str">
        <f t="shared" si="2"/>
        <v>88962686104 AUTOMANN MEX TAPER LEAF SPRING 462202</v>
      </c>
      <c r="C176" s="10">
        <v>26.134</v>
      </c>
      <c r="D176" s="10">
        <v>462202</v>
      </c>
      <c r="E176" s="1" t="s">
        <v>48</v>
      </c>
      <c r="F176" s="1" t="s">
        <v>58</v>
      </c>
      <c r="G176" s="1" t="s">
        <v>50</v>
      </c>
      <c r="H176" s="1">
        <v>88962686104</v>
      </c>
    </row>
    <row r="177" spans="1:8" x14ac:dyDescent="0.25">
      <c r="A177" s="10" t="s">
        <v>379</v>
      </c>
      <c r="B177" s="10" t="str">
        <f t="shared" si="2"/>
        <v>88962689931 AUTOMANN MEX TAPER LEAF SPRING 4614322DR</v>
      </c>
      <c r="C177" s="10">
        <v>26.867999999999999</v>
      </c>
      <c r="D177" s="10" t="s">
        <v>380</v>
      </c>
      <c r="E177" s="1" t="s">
        <v>48</v>
      </c>
      <c r="F177" s="1" t="s">
        <v>58</v>
      </c>
      <c r="G177" s="1" t="s">
        <v>50</v>
      </c>
      <c r="H177" s="1">
        <v>88962689931</v>
      </c>
    </row>
    <row r="178" spans="1:8" x14ac:dyDescent="0.25">
      <c r="A178" s="10" t="s">
        <v>381</v>
      </c>
      <c r="B178" s="10" t="str">
        <f t="shared" si="2"/>
        <v>88962686126 AUTOMANN MEX TAPER LEAF SPRING SLRNA197P2</v>
      </c>
      <c r="C178" s="10">
        <v>20.436</v>
      </c>
      <c r="D178" s="10" t="s">
        <v>382</v>
      </c>
      <c r="E178" s="1" t="s">
        <v>48</v>
      </c>
      <c r="F178" s="1" t="s">
        <v>58</v>
      </c>
      <c r="G178" s="1" t="s">
        <v>50</v>
      </c>
      <c r="H178" s="1">
        <v>88962686126</v>
      </c>
    </row>
    <row r="179" spans="1:8" x14ac:dyDescent="0.25">
      <c r="A179" s="10" t="s">
        <v>383</v>
      </c>
      <c r="B179" s="10" t="str">
        <f t="shared" si="2"/>
        <v>88962686134 AUTOMANN MEX TAPER LEAF SPRING 9613082</v>
      </c>
      <c r="C179" s="10">
        <v>26.222999999999999</v>
      </c>
      <c r="D179" s="10">
        <v>9613082</v>
      </c>
      <c r="E179" s="1" t="s">
        <v>48</v>
      </c>
      <c r="F179" s="1" t="s">
        <v>58</v>
      </c>
      <c r="G179" s="1" t="s">
        <v>50</v>
      </c>
      <c r="H179" s="1">
        <v>88962686134</v>
      </c>
    </row>
    <row r="180" spans="1:8" x14ac:dyDescent="0.25">
      <c r="A180" s="10" t="s">
        <v>384</v>
      </c>
      <c r="B180" s="10" t="str">
        <f t="shared" si="2"/>
        <v>88962686075 AUTOMANN MEX MULTI LEAF SPRING 81141KBJ</v>
      </c>
      <c r="C180" s="10">
        <v>16.983000000000001</v>
      </c>
      <c r="D180" s="10" t="s">
        <v>385</v>
      </c>
      <c r="E180" s="1" t="s">
        <v>48</v>
      </c>
      <c r="F180" s="1" t="s">
        <v>49</v>
      </c>
      <c r="G180" s="1" t="s">
        <v>50</v>
      </c>
      <c r="H180" s="1">
        <v>88962686075</v>
      </c>
    </row>
    <row r="181" spans="1:8" x14ac:dyDescent="0.25">
      <c r="A181" s="10" t="s">
        <v>386</v>
      </c>
      <c r="B181" s="10" t="str">
        <f t="shared" si="2"/>
        <v>88962686056 AUTOMANN MEX MULTI LEAF SPRING 396264</v>
      </c>
      <c r="C181" s="10">
        <v>9.7129999999999992</v>
      </c>
      <c r="D181" s="10">
        <v>396264</v>
      </c>
      <c r="E181" s="1" t="s">
        <v>48</v>
      </c>
      <c r="F181" s="1" t="s">
        <v>49</v>
      </c>
      <c r="G181" s="1" t="s">
        <v>50</v>
      </c>
      <c r="H181" s="1">
        <v>88962686056</v>
      </c>
    </row>
    <row r="182" spans="1:8" x14ac:dyDescent="0.25">
      <c r="A182" s="10" t="s">
        <v>387</v>
      </c>
      <c r="B182" s="10" t="str">
        <f t="shared" si="2"/>
        <v>88962686090 AUTOMANN MEX MULTI LEAF SPRING 81143B</v>
      </c>
      <c r="C182" s="10">
        <v>10.635999999999999</v>
      </c>
      <c r="D182" s="10" t="s">
        <v>388</v>
      </c>
      <c r="E182" s="1" t="s">
        <v>48</v>
      </c>
      <c r="F182" s="1" t="s">
        <v>49</v>
      </c>
      <c r="G182" s="1" t="s">
        <v>50</v>
      </c>
      <c r="H182" s="1">
        <v>88962686090</v>
      </c>
    </row>
    <row r="183" spans="1:8" x14ac:dyDescent="0.25">
      <c r="A183" s="10" t="s">
        <v>389</v>
      </c>
      <c r="B183" s="10" t="str">
        <f t="shared" si="2"/>
        <v>88962685957 AUTOMANN MEX MULTI LEAF SPRING TRX701146</v>
      </c>
      <c r="C183" s="10">
        <v>6.899</v>
      </c>
      <c r="D183" s="10" t="s">
        <v>390</v>
      </c>
      <c r="E183" s="1" t="s">
        <v>48</v>
      </c>
      <c r="F183" s="1" t="s">
        <v>49</v>
      </c>
      <c r="G183" s="1" t="s">
        <v>50</v>
      </c>
      <c r="H183" s="1">
        <v>88962685957</v>
      </c>
    </row>
    <row r="184" spans="1:8" x14ac:dyDescent="0.25">
      <c r="A184" s="10" t="s">
        <v>391</v>
      </c>
      <c r="B184" s="10" t="str">
        <f t="shared" si="2"/>
        <v>88962686015 AUTOMANN MEX MC-MULTI LEAF SPRING 13520</v>
      </c>
      <c r="C184" s="10">
        <v>16.266999999999999</v>
      </c>
      <c r="D184" s="10">
        <v>13520</v>
      </c>
      <c r="E184" s="1" t="s">
        <v>48</v>
      </c>
      <c r="F184" s="1" t="s">
        <v>221</v>
      </c>
      <c r="G184" s="1" t="s">
        <v>50</v>
      </c>
      <c r="H184" s="1">
        <v>88962686015</v>
      </c>
    </row>
    <row r="185" spans="1:8" x14ac:dyDescent="0.25">
      <c r="A185" s="10" t="s">
        <v>392</v>
      </c>
      <c r="B185" s="10" t="str">
        <f t="shared" si="2"/>
        <v>88962685932 AUTOMANN MEX MULTI LEAF SPRING 23C540C1</v>
      </c>
      <c r="C185" s="10">
        <v>6.2629999999999999</v>
      </c>
      <c r="D185" s="10" t="s">
        <v>393</v>
      </c>
      <c r="E185" s="1" t="s">
        <v>48</v>
      </c>
      <c r="F185" s="1" t="s">
        <v>49</v>
      </c>
      <c r="G185" s="1" t="s">
        <v>50</v>
      </c>
      <c r="H185" s="1">
        <v>88962685932</v>
      </c>
    </row>
    <row r="186" spans="1:8" x14ac:dyDescent="0.25">
      <c r="A186" s="10" t="s">
        <v>394</v>
      </c>
      <c r="B186" s="10" t="str">
        <f t="shared" si="2"/>
        <v>88962686170 AUTOMANN MEX MULTI LEAF SPRING E52261</v>
      </c>
      <c r="C186" s="10">
        <v>2.6339999999999999</v>
      </c>
      <c r="D186" s="10" t="s">
        <v>395</v>
      </c>
      <c r="E186" s="1" t="s">
        <v>48</v>
      </c>
      <c r="F186" s="1" t="s">
        <v>49</v>
      </c>
      <c r="G186" s="1" t="s">
        <v>50</v>
      </c>
      <c r="H186" s="1">
        <v>88962686170</v>
      </c>
    </row>
    <row r="187" spans="1:8" x14ac:dyDescent="0.25">
      <c r="A187" s="10" t="s">
        <v>396</v>
      </c>
      <c r="B187" s="10" t="str">
        <f t="shared" si="2"/>
        <v>88962686136 AUTOMANN MEX TAPER LEAF SPRING 81141EMBJ</v>
      </c>
      <c r="C187" s="10">
        <v>26.576000000000001</v>
      </c>
      <c r="D187" s="10" t="s">
        <v>397</v>
      </c>
      <c r="E187" s="1" t="s">
        <v>48</v>
      </c>
      <c r="F187" s="1" t="s">
        <v>58</v>
      </c>
      <c r="G187" s="1" t="s">
        <v>50</v>
      </c>
      <c r="H187" s="1">
        <v>88962686136</v>
      </c>
    </row>
    <row r="188" spans="1:8" x14ac:dyDescent="0.25">
      <c r="A188" s="10" t="s">
        <v>398</v>
      </c>
      <c r="B188" s="10" t="str">
        <f t="shared" si="2"/>
        <v>88962686063 AUTOMANN MEX TAPER LEAF SPRING 452002</v>
      </c>
      <c r="C188" s="10">
        <v>28.870999999999999</v>
      </c>
      <c r="D188" s="10">
        <v>452002</v>
      </c>
      <c r="E188" s="1" t="s">
        <v>48</v>
      </c>
      <c r="F188" s="1" t="s">
        <v>58</v>
      </c>
      <c r="G188" s="1" t="s">
        <v>50</v>
      </c>
      <c r="H188" s="1">
        <v>88962686063</v>
      </c>
    </row>
    <row r="189" spans="1:8" x14ac:dyDescent="0.25">
      <c r="A189" s="10" t="s">
        <v>399</v>
      </c>
      <c r="B189" s="10" t="str">
        <f t="shared" si="2"/>
        <v>88962686112 AUTOMANN MEX TAPER LEAF SPRING 559642</v>
      </c>
      <c r="C189" s="10">
        <v>20.841000000000001</v>
      </c>
      <c r="D189" s="10">
        <v>559642</v>
      </c>
      <c r="E189" s="1" t="s">
        <v>48</v>
      </c>
      <c r="F189" s="1" t="s">
        <v>58</v>
      </c>
      <c r="G189" s="1" t="s">
        <v>50</v>
      </c>
      <c r="H189" s="1">
        <v>88962686112</v>
      </c>
    </row>
    <row r="190" spans="1:8" x14ac:dyDescent="0.25">
      <c r="A190" s="10" t="s">
        <v>400</v>
      </c>
      <c r="B190" s="10" t="str">
        <f t="shared" si="2"/>
        <v>88962685984 AUTOMANN MEX TAPER LEAF SPRING 13C500D1</v>
      </c>
      <c r="C190" s="10">
        <v>13.19</v>
      </c>
      <c r="D190" s="10" t="s">
        <v>401</v>
      </c>
      <c r="E190" s="1" t="s">
        <v>48</v>
      </c>
      <c r="F190" s="1" t="s">
        <v>58</v>
      </c>
      <c r="G190" s="1" t="s">
        <v>50</v>
      </c>
      <c r="H190" s="1">
        <v>88962685984</v>
      </c>
    </row>
    <row r="191" spans="1:8" x14ac:dyDescent="0.25">
      <c r="A191" s="10" t="s">
        <v>402</v>
      </c>
      <c r="B191" s="10" t="str">
        <f t="shared" si="2"/>
        <v>88962689930 AUTOMANN MEX TAPER LEAF SPRING 437742</v>
      </c>
      <c r="C191" s="10">
        <v>9.6910000000000007</v>
      </c>
      <c r="D191" s="10">
        <v>437742</v>
      </c>
      <c r="E191" s="1" t="s">
        <v>48</v>
      </c>
      <c r="F191" s="1" t="s">
        <v>58</v>
      </c>
      <c r="G191" s="1" t="s">
        <v>50</v>
      </c>
      <c r="H191" s="1">
        <v>88962689930</v>
      </c>
    </row>
    <row r="192" spans="1:8" x14ac:dyDescent="0.25">
      <c r="A192" s="10" t="s">
        <v>403</v>
      </c>
      <c r="B192" s="10" t="str">
        <f t="shared" si="2"/>
        <v>88962686180 AUTOMANN MEX TAPER LEAF SPRING 44300LO3</v>
      </c>
      <c r="C192" s="10">
        <v>11.582000000000001</v>
      </c>
      <c r="D192" s="10" t="s">
        <v>404</v>
      </c>
      <c r="E192" s="1" t="s">
        <v>48</v>
      </c>
      <c r="F192" s="1" t="s">
        <v>58</v>
      </c>
      <c r="G192" s="1" t="s">
        <v>50</v>
      </c>
      <c r="H192" s="1">
        <v>88962686180</v>
      </c>
    </row>
    <row r="193" spans="1:8" x14ac:dyDescent="0.25">
      <c r="A193" s="10" t="s">
        <v>405</v>
      </c>
      <c r="B193" s="10" t="str">
        <f t="shared" ref="B193:B229" si="3">H193&amp;" "&amp;E193&amp;" "&amp;F193&amp;" "&amp;G193&amp;D193</f>
        <v>88962686001 AUTOMANN MEX MULTI LEAF SPRING 45114D</v>
      </c>
      <c r="C193" s="10">
        <v>5.976</v>
      </c>
      <c r="D193" s="10" t="s">
        <v>406</v>
      </c>
      <c r="E193" s="1" t="s">
        <v>48</v>
      </c>
      <c r="F193" s="1" t="s">
        <v>49</v>
      </c>
      <c r="G193" s="1" t="s">
        <v>50</v>
      </c>
      <c r="H193" s="1">
        <v>88962686001</v>
      </c>
    </row>
    <row r="194" spans="1:8" x14ac:dyDescent="0.25">
      <c r="A194" s="10" t="s">
        <v>407</v>
      </c>
      <c r="B194" s="10" t="str">
        <f t="shared" si="3"/>
        <v>88962685906 AUTOMANN MEX MULTI LEAF SPRING MTR9041</v>
      </c>
      <c r="C194" s="10">
        <v>2.4790000000000001</v>
      </c>
      <c r="D194" s="10" t="s">
        <v>408</v>
      </c>
      <c r="E194" s="1" t="s">
        <v>48</v>
      </c>
      <c r="F194" s="1" t="s">
        <v>49</v>
      </c>
      <c r="G194" s="1" t="s">
        <v>50</v>
      </c>
      <c r="H194" s="1">
        <v>88962685906</v>
      </c>
    </row>
    <row r="195" spans="1:8" x14ac:dyDescent="0.25">
      <c r="A195" s="10" t="s">
        <v>409</v>
      </c>
      <c r="B195" s="10" t="str">
        <f t="shared" si="3"/>
        <v>88962686168 AUTOMANN MEX MC-MULTI LEAF SPRING E5226</v>
      </c>
      <c r="C195" s="10">
        <v>8.5939999999999994</v>
      </c>
      <c r="D195" s="10" t="s">
        <v>410</v>
      </c>
      <c r="E195" s="1" t="s">
        <v>48</v>
      </c>
      <c r="F195" s="1" t="s">
        <v>221</v>
      </c>
      <c r="G195" s="1" t="s">
        <v>50</v>
      </c>
      <c r="H195" s="1">
        <v>88962686168</v>
      </c>
    </row>
    <row r="196" spans="1:8" x14ac:dyDescent="0.25">
      <c r="A196" s="10" t="s">
        <v>411</v>
      </c>
      <c r="B196" s="10" t="str">
        <f t="shared" si="3"/>
        <v>88962689942 AUTOMANN MEX TAPER LEAF SPRING 4614941BJ</v>
      </c>
      <c r="C196" s="10">
        <v>20.847999999999999</v>
      </c>
      <c r="D196" s="10" t="s">
        <v>412</v>
      </c>
      <c r="E196" s="1" t="s">
        <v>48</v>
      </c>
      <c r="F196" s="1" t="s">
        <v>58</v>
      </c>
      <c r="G196" s="1" t="s">
        <v>50</v>
      </c>
      <c r="H196" s="1">
        <v>88962689942</v>
      </c>
    </row>
    <row r="197" spans="1:8" x14ac:dyDescent="0.25">
      <c r="A197" s="10" t="s">
        <v>413</v>
      </c>
      <c r="B197" s="10" t="str">
        <f t="shared" si="3"/>
        <v>88962686148 AUTOMANN MEX MULTI LEAF SPRING 23C500M2D</v>
      </c>
      <c r="C197" s="10">
        <v>8.3680000000000003</v>
      </c>
      <c r="D197" s="10" t="s">
        <v>414</v>
      </c>
      <c r="E197" s="1" t="s">
        <v>48</v>
      </c>
      <c r="F197" s="1" t="s">
        <v>49</v>
      </c>
      <c r="G197" s="1" t="s">
        <v>50</v>
      </c>
      <c r="H197" s="1">
        <v>88962686148</v>
      </c>
    </row>
    <row r="198" spans="1:8" x14ac:dyDescent="0.25">
      <c r="A198" s="10" t="s">
        <v>415</v>
      </c>
      <c r="B198" s="10" t="str">
        <f t="shared" si="3"/>
        <v>88962686053 AUTOMANN MEX MULTI LEAF SPRING 4613191BJ</v>
      </c>
      <c r="C198" s="10">
        <v>14.983000000000001</v>
      </c>
      <c r="D198" s="10" t="s">
        <v>416</v>
      </c>
      <c r="E198" s="1" t="s">
        <v>48</v>
      </c>
      <c r="F198" s="1" t="s">
        <v>49</v>
      </c>
      <c r="G198" s="1" t="s">
        <v>50</v>
      </c>
      <c r="H198" s="1">
        <v>88962686053</v>
      </c>
    </row>
    <row r="199" spans="1:8" x14ac:dyDescent="0.25">
      <c r="A199" s="10" t="s">
        <v>417</v>
      </c>
      <c r="B199" s="10" t="str">
        <f t="shared" si="3"/>
        <v>88962686041 AUTOMANN MEX MULTI LEAF SPRING 55121713T</v>
      </c>
      <c r="C199" s="10">
        <v>6.46</v>
      </c>
      <c r="D199" s="10" t="s">
        <v>418</v>
      </c>
      <c r="E199" s="1" t="s">
        <v>48</v>
      </c>
      <c r="F199" s="1" t="s">
        <v>49</v>
      </c>
      <c r="G199" s="1" t="s">
        <v>50</v>
      </c>
      <c r="H199" s="1">
        <v>88962686041</v>
      </c>
    </row>
    <row r="200" spans="1:8" x14ac:dyDescent="0.25">
      <c r="A200" s="10" t="s">
        <v>419</v>
      </c>
      <c r="B200" s="10" t="str">
        <f t="shared" si="3"/>
        <v>88962689929 AUTOMANN MEX TAPER LEAF SPRING 43774-1</v>
      </c>
      <c r="C200" s="10">
        <v>10.875</v>
      </c>
      <c r="D200" s="10" t="s">
        <v>420</v>
      </c>
      <c r="E200" s="1" t="s">
        <v>48</v>
      </c>
      <c r="F200" s="1" t="s">
        <v>58</v>
      </c>
      <c r="G200" s="1" t="s">
        <v>50</v>
      </c>
      <c r="H200" s="1">
        <v>88962689929</v>
      </c>
    </row>
    <row r="201" spans="1:8" x14ac:dyDescent="0.25">
      <c r="A201" s="10" t="s">
        <v>421</v>
      </c>
      <c r="B201" s="10" t="str">
        <f t="shared" si="3"/>
        <v>88962622701 AUTOMANN MEX MC-MULTI LEAF SPRING TRA2726</v>
      </c>
      <c r="C201" s="10">
        <v>24.571000000000002</v>
      </c>
      <c r="D201" s="10" t="s">
        <v>422</v>
      </c>
      <c r="E201" s="1" t="s">
        <v>48</v>
      </c>
      <c r="F201" s="1" t="s">
        <v>221</v>
      </c>
      <c r="G201" s="1" t="s">
        <v>50</v>
      </c>
      <c r="H201" s="1">
        <v>88962622701</v>
      </c>
    </row>
    <row r="202" spans="1:8" x14ac:dyDescent="0.25">
      <c r="A202" s="10" t="s">
        <v>423</v>
      </c>
      <c r="B202" s="10" t="str">
        <f t="shared" si="3"/>
        <v>88962685865 AUTOMANN MEX MULTI LEAF SPRING TRX22532352</v>
      </c>
      <c r="C202" s="10">
        <v>4.7670000000000003</v>
      </c>
      <c r="D202" s="10" t="s">
        <v>424</v>
      </c>
      <c r="E202" s="1" t="s">
        <v>48</v>
      </c>
      <c r="F202" s="1" t="s">
        <v>49</v>
      </c>
      <c r="G202" s="1" t="s">
        <v>50</v>
      </c>
      <c r="H202" s="1">
        <v>88962685865</v>
      </c>
    </row>
    <row r="203" spans="1:8" x14ac:dyDescent="0.25">
      <c r="A203" s="10" t="s">
        <v>425</v>
      </c>
      <c r="B203" s="10" t="str">
        <f t="shared" si="3"/>
        <v>88962685898 AUTOMANN MEX MULTI LEAF SPRING TRX30049964</v>
      </c>
      <c r="C203" s="10">
        <v>11.84</v>
      </c>
      <c r="D203" s="10" t="s">
        <v>426</v>
      </c>
      <c r="E203" s="1" t="s">
        <v>48</v>
      </c>
      <c r="F203" s="1" t="s">
        <v>49</v>
      </c>
      <c r="G203" s="1" t="s">
        <v>50</v>
      </c>
      <c r="H203" s="1">
        <v>88962685898</v>
      </c>
    </row>
    <row r="204" spans="1:8" x14ac:dyDescent="0.25">
      <c r="A204" s="10" t="s">
        <v>427</v>
      </c>
      <c r="B204" s="10" t="str">
        <f t="shared" si="3"/>
        <v>88962685992 AUTOMANN MEX MULTI LEAF SPRING TRX1451</v>
      </c>
      <c r="C204" s="10">
        <v>7.7779999999999996</v>
      </c>
      <c r="D204" s="10" t="s">
        <v>428</v>
      </c>
      <c r="E204" s="1" t="s">
        <v>48</v>
      </c>
      <c r="F204" s="1" t="s">
        <v>49</v>
      </c>
      <c r="G204" s="1" t="s">
        <v>50</v>
      </c>
      <c r="H204" s="1">
        <v>88962685992</v>
      </c>
    </row>
    <row r="205" spans="1:8" x14ac:dyDescent="0.25">
      <c r="A205" s="10" t="s">
        <v>429</v>
      </c>
      <c r="B205" s="10" t="str">
        <f t="shared" si="3"/>
        <v>88962686014 AUTOMANN MEX MULTI LEAF SPRING 33C560C1A</v>
      </c>
      <c r="C205" s="10">
        <v>3.4350000000000001</v>
      </c>
      <c r="D205" s="10" t="s">
        <v>430</v>
      </c>
      <c r="E205" s="1" t="s">
        <v>48</v>
      </c>
      <c r="F205" s="1" t="s">
        <v>49</v>
      </c>
      <c r="G205" s="1" t="s">
        <v>50</v>
      </c>
      <c r="H205" s="1">
        <v>88962686014</v>
      </c>
    </row>
    <row r="206" spans="1:8" x14ac:dyDescent="0.25">
      <c r="A206" s="10" t="s">
        <v>431</v>
      </c>
      <c r="B206" s="10" t="str">
        <f t="shared" si="3"/>
        <v>88962685877 AUTOMANN MEX MULTI LEAF SPRING TRX25032343</v>
      </c>
      <c r="C206" s="10">
        <v>4.3090000000000002</v>
      </c>
      <c r="D206" s="10" t="s">
        <v>432</v>
      </c>
      <c r="E206" s="1" t="s">
        <v>48</v>
      </c>
      <c r="F206" s="1" t="s">
        <v>49</v>
      </c>
      <c r="G206" s="1" t="s">
        <v>50</v>
      </c>
      <c r="H206" s="1">
        <v>88962685877</v>
      </c>
    </row>
    <row r="207" spans="1:8" x14ac:dyDescent="0.25">
      <c r="A207" s="10" t="s">
        <v>433</v>
      </c>
      <c r="B207" s="10" t="str">
        <f t="shared" si="3"/>
        <v>88962685875 AUTOMANN MEX MULTI LEAF SPRING TRX25040160</v>
      </c>
      <c r="C207" s="10">
        <v>7.569</v>
      </c>
      <c r="D207" s="10" t="s">
        <v>434</v>
      </c>
      <c r="E207" s="1" t="s">
        <v>48</v>
      </c>
      <c r="F207" s="1" t="s">
        <v>49</v>
      </c>
      <c r="G207" s="1" t="s">
        <v>50</v>
      </c>
      <c r="H207" s="1">
        <v>88962685875</v>
      </c>
    </row>
    <row r="208" spans="1:8" x14ac:dyDescent="0.25">
      <c r="A208" s="10" t="s">
        <v>435</v>
      </c>
      <c r="B208" s="10" t="str">
        <f t="shared" si="3"/>
        <v>88962686054 AUTOMANN MEX MULTI LEAF SPRING 4613192</v>
      </c>
      <c r="C208" s="10">
        <v>15.951000000000001</v>
      </c>
      <c r="D208" s="10">
        <v>4613192</v>
      </c>
      <c r="E208" s="1" t="s">
        <v>48</v>
      </c>
      <c r="F208" s="1" t="s">
        <v>49</v>
      </c>
      <c r="G208" s="1" t="s">
        <v>50</v>
      </c>
      <c r="H208" s="1">
        <v>88962686054</v>
      </c>
    </row>
    <row r="209" spans="1:8" x14ac:dyDescent="0.25">
      <c r="A209" s="10" t="s">
        <v>436</v>
      </c>
      <c r="B209" s="10" t="str">
        <f t="shared" si="3"/>
        <v>88962685963 AUTOMANN MEX MULTI LEAF SPRING 23C364B</v>
      </c>
      <c r="C209" s="10">
        <v>3.859</v>
      </c>
      <c r="D209" s="10" t="s">
        <v>437</v>
      </c>
      <c r="E209" s="1" t="s">
        <v>48</v>
      </c>
      <c r="F209" s="1" t="s">
        <v>49</v>
      </c>
      <c r="G209" s="1" t="s">
        <v>50</v>
      </c>
      <c r="H209" s="1">
        <v>88962685963</v>
      </c>
    </row>
    <row r="210" spans="1:8" x14ac:dyDescent="0.25">
      <c r="A210" s="10" t="s">
        <v>438</v>
      </c>
      <c r="B210" s="10" t="str">
        <f t="shared" si="3"/>
        <v>88962685871 AUTOMANN MEX MULTI LEAF SPRING TRX25036052</v>
      </c>
      <c r="C210" s="10">
        <v>5.7939999999999996</v>
      </c>
      <c r="D210" s="10" t="s">
        <v>439</v>
      </c>
      <c r="E210" s="1" t="s">
        <v>48</v>
      </c>
      <c r="F210" s="1" t="s">
        <v>49</v>
      </c>
      <c r="G210" s="1" t="s">
        <v>50</v>
      </c>
      <c r="H210" s="1">
        <v>88962685871</v>
      </c>
    </row>
    <row r="211" spans="1:8" x14ac:dyDescent="0.25">
      <c r="A211" s="10" t="s">
        <v>440</v>
      </c>
      <c r="B211" s="10" t="str">
        <f t="shared" si="3"/>
        <v>88962685888 AUTOMANN MEX MULTI LEAF SPRING TRX30049926</v>
      </c>
      <c r="C211" s="10">
        <v>4.806</v>
      </c>
      <c r="D211" s="10" t="s">
        <v>441</v>
      </c>
      <c r="E211" s="1" t="s">
        <v>48</v>
      </c>
      <c r="F211" s="1" t="s">
        <v>49</v>
      </c>
      <c r="G211" s="1" t="s">
        <v>50</v>
      </c>
      <c r="H211" s="1">
        <v>88962685888</v>
      </c>
    </row>
    <row r="212" spans="1:8" x14ac:dyDescent="0.25">
      <c r="A212" s="10" t="s">
        <v>442</v>
      </c>
      <c r="B212" s="10" t="str">
        <f t="shared" si="3"/>
        <v>88962685896 AUTOMANN MEX MULTI LEAF SPRING TRX30049952</v>
      </c>
      <c r="C212" s="10">
        <v>9.6120000000000001</v>
      </c>
      <c r="D212" s="10" t="s">
        <v>443</v>
      </c>
      <c r="E212" s="1" t="s">
        <v>48</v>
      </c>
      <c r="F212" s="1" t="s">
        <v>49</v>
      </c>
      <c r="G212" s="1" t="s">
        <v>50</v>
      </c>
      <c r="H212" s="1">
        <v>88962685896</v>
      </c>
    </row>
    <row r="213" spans="1:8" x14ac:dyDescent="0.25">
      <c r="A213" s="10" t="s">
        <v>444</v>
      </c>
      <c r="B213" s="10" t="str">
        <f t="shared" si="3"/>
        <v>88962686116 AUTOMANN MEX TAPER LEAF SPRING LA695A1BJ</v>
      </c>
      <c r="C213" s="10">
        <v>22.366</v>
      </c>
      <c r="D213" s="10" t="s">
        <v>445</v>
      </c>
      <c r="E213" s="1" t="s">
        <v>48</v>
      </c>
      <c r="F213" s="1" t="s">
        <v>58</v>
      </c>
      <c r="G213" s="1" t="s">
        <v>50</v>
      </c>
      <c r="H213" s="1">
        <v>88962686116</v>
      </c>
    </row>
    <row r="214" spans="1:8" x14ac:dyDescent="0.25">
      <c r="A214" s="10" t="s">
        <v>446</v>
      </c>
      <c r="B214" s="10" t="str">
        <f t="shared" si="3"/>
        <v>88962686017 AUTOMANN MEX MULTI LEAF SPRING 32221</v>
      </c>
      <c r="C214" s="10">
        <v>8.6929999999999996</v>
      </c>
      <c r="D214" s="10">
        <v>32221</v>
      </c>
      <c r="E214" s="1" t="s">
        <v>48</v>
      </c>
      <c r="F214" s="1" t="s">
        <v>49</v>
      </c>
      <c r="G214" s="1" t="s">
        <v>50</v>
      </c>
      <c r="H214" s="1">
        <v>88962686017</v>
      </c>
    </row>
    <row r="215" spans="1:8" x14ac:dyDescent="0.25">
      <c r="A215" s="10" t="s">
        <v>447</v>
      </c>
      <c r="B215" s="10" t="str">
        <f t="shared" si="3"/>
        <v>88962686156 AUTOMANN MEX TAPER LEAF SPRING 442002D</v>
      </c>
      <c r="C215" s="10">
        <v>17.943999999999999</v>
      </c>
      <c r="D215" s="10" t="s">
        <v>448</v>
      </c>
      <c r="E215" s="1" t="s">
        <v>48</v>
      </c>
      <c r="F215" s="1" t="s">
        <v>58</v>
      </c>
      <c r="G215" s="1" t="s">
        <v>50</v>
      </c>
      <c r="H215" s="1">
        <v>88962686156</v>
      </c>
    </row>
    <row r="216" spans="1:8" x14ac:dyDescent="0.25">
      <c r="A216" s="10" t="s">
        <v>449</v>
      </c>
      <c r="B216" s="10" t="str">
        <f t="shared" si="3"/>
        <v>88962685952 AUTOMANN MEX MULTI LEAF SPRING 23C404M</v>
      </c>
      <c r="C216" s="10">
        <v>5.9729999999999999</v>
      </c>
      <c r="D216" s="10" t="s">
        <v>450</v>
      </c>
      <c r="E216" s="1" t="s">
        <v>48</v>
      </c>
      <c r="F216" s="1" t="s">
        <v>49</v>
      </c>
      <c r="G216" s="1" t="s">
        <v>50</v>
      </c>
      <c r="H216" s="1">
        <v>88962685952</v>
      </c>
    </row>
    <row r="217" spans="1:8" x14ac:dyDescent="0.25">
      <c r="A217" s="10" t="s">
        <v>451</v>
      </c>
      <c r="B217" s="10" t="str">
        <f t="shared" si="3"/>
        <v>88962685862 AUTOMANN MEX MULTI LEAF SPRING TRX22532338</v>
      </c>
      <c r="C217" s="10">
        <v>3.4810000000000003</v>
      </c>
      <c r="D217" s="10" t="s">
        <v>452</v>
      </c>
      <c r="E217" s="1" t="s">
        <v>48</v>
      </c>
      <c r="F217" s="1" t="s">
        <v>49</v>
      </c>
      <c r="G217" s="1" t="s">
        <v>50</v>
      </c>
      <c r="H217" s="1">
        <v>88962685862</v>
      </c>
    </row>
    <row r="218" spans="1:8" x14ac:dyDescent="0.25">
      <c r="A218" s="10" t="s">
        <v>453</v>
      </c>
      <c r="B218" s="10" t="str">
        <f t="shared" si="3"/>
        <v>88962686010 AUTOMANN MEX MULTI LEAF SPRING 33C563C</v>
      </c>
      <c r="C218" s="10">
        <v>9.1739999999999995</v>
      </c>
      <c r="D218" s="10" t="s">
        <v>454</v>
      </c>
      <c r="E218" s="1" t="s">
        <v>48</v>
      </c>
      <c r="F218" s="1" t="s">
        <v>49</v>
      </c>
      <c r="G218" s="1" t="s">
        <v>50</v>
      </c>
      <c r="H218" s="1">
        <v>88962686010</v>
      </c>
    </row>
    <row r="219" spans="1:8" x14ac:dyDescent="0.25">
      <c r="A219" s="10" t="s">
        <v>455</v>
      </c>
      <c r="B219" s="10" t="str">
        <f t="shared" si="3"/>
        <v>88962685885 AUTOMANN MEX MULTI LEAF SPRING TRX25044760</v>
      </c>
      <c r="C219" s="10">
        <v>8.42</v>
      </c>
      <c r="D219" s="10" t="s">
        <v>456</v>
      </c>
      <c r="E219" s="1" t="s">
        <v>48</v>
      </c>
      <c r="F219" s="1" t="s">
        <v>49</v>
      </c>
      <c r="G219" s="1" t="s">
        <v>50</v>
      </c>
      <c r="H219" s="1">
        <v>88962685885</v>
      </c>
    </row>
    <row r="220" spans="1:8" x14ac:dyDescent="0.25">
      <c r="A220" s="10" t="s">
        <v>457</v>
      </c>
      <c r="B220" s="10" t="str">
        <f t="shared" si="3"/>
        <v>88962685900 AUTOMANN MEX MULTI LEAF SPRING TRX30036042</v>
      </c>
      <c r="C220" s="10">
        <v>5.6319999999999997</v>
      </c>
      <c r="D220" s="10" t="s">
        <v>458</v>
      </c>
      <c r="E220" s="1" t="s">
        <v>48</v>
      </c>
      <c r="F220" s="1" t="s">
        <v>49</v>
      </c>
      <c r="G220" s="1" t="s">
        <v>50</v>
      </c>
      <c r="H220" s="1">
        <v>88962685900</v>
      </c>
    </row>
    <row r="221" spans="1:8" x14ac:dyDescent="0.25">
      <c r="A221" s="10" t="s">
        <v>459</v>
      </c>
      <c r="B221" s="10" t="str">
        <f t="shared" si="3"/>
        <v>88962686091 AUTOMANN MEX MULTI LEAF SPRING 81144B</v>
      </c>
      <c r="C221" s="10">
        <v>9.0730000000000004</v>
      </c>
      <c r="D221" s="10" t="s">
        <v>460</v>
      </c>
      <c r="E221" s="1" t="s">
        <v>48</v>
      </c>
      <c r="F221" s="1" t="s">
        <v>49</v>
      </c>
      <c r="G221" s="1" t="s">
        <v>50</v>
      </c>
      <c r="H221" s="1">
        <v>88962686091</v>
      </c>
    </row>
    <row r="222" spans="1:8" x14ac:dyDescent="0.25">
      <c r="A222" s="10" t="s">
        <v>461</v>
      </c>
      <c r="B222" s="10" t="str">
        <f t="shared" si="3"/>
        <v>88962685931 AUTOMANN MEX TAPER LEAF SPRING TRX22532347</v>
      </c>
      <c r="C222" s="10">
        <v>4.3280000000000003</v>
      </c>
      <c r="D222" s="10" t="s">
        <v>462</v>
      </c>
      <c r="E222" s="1" t="s">
        <v>48</v>
      </c>
      <c r="F222" s="1" t="s">
        <v>58</v>
      </c>
      <c r="G222" s="1" t="s">
        <v>50</v>
      </c>
      <c r="H222" s="1">
        <v>88962685931</v>
      </c>
    </row>
    <row r="223" spans="1:8" x14ac:dyDescent="0.25">
      <c r="A223" s="10" t="s">
        <v>463</v>
      </c>
      <c r="B223" s="10" t="str">
        <f t="shared" si="3"/>
        <v>88962685882 AUTOMANN MEX MULTI LEAF SPRING TRX25044746</v>
      </c>
      <c r="C223" s="10">
        <v>6.32</v>
      </c>
      <c r="D223" s="10" t="s">
        <v>464</v>
      </c>
      <c r="E223" s="1" t="s">
        <v>48</v>
      </c>
      <c r="F223" s="1" t="s">
        <v>49</v>
      </c>
      <c r="G223" s="1" t="s">
        <v>50</v>
      </c>
      <c r="H223" s="1">
        <v>88962685882</v>
      </c>
    </row>
    <row r="224" spans="1:8" x14ac:dyDescent="0.25">
      <c r="A224" s="10" t="s">
        <v>465</v>
      </c>
      <c r="B224" s="10" t="str">
        <f t="shared" si="3"/>
        <v>88962686068 AUTOMANN MEX MULTI LEAF SPRING 45220B3</v>
      </c>
      <c r="C224" s="10">
        <v>20.645</v>
      </c>
      <c r="D224" s="10" t="s">
        <v>466</v>
      </c>
      <c r="E224" s="1" t="s">
        <v>48</v>
      </c>
      <c r="F224" s="1" t="s">
        <v>49</v>
      </c>
      <c r="G224" s="1" t="s">
        <v>50</v>
      </c>
      <c r="H224" s="1">
        <v>88962686068</v>
      </c>
    </row>
    <row r="225" spans="1:8" x14ac:dyDescent="0.25">
      <c r="A225" s="10" t="s">
        <v>467</v>
      </c>
      <c r="B225" s="10" t="str">
        <f t="shared" si="3"/>
        <v>88962689943 AUTOMANN MEX TAPER LEAF SPRING 4614942D</v>
      </c>
      <c r="C225" s="10">
        <v>18.873999999999999</v>
      </c>
      <c r="D225" s="10" t="s">
        <v>468</v>
      </c>
      <c r="E225" s="1" t="s">
        <v>48</v>
      </c>
      <c r="F225" s="1" t="s">
        <v>58</v>
      </c>
      <c r="G225" s="1" t="s">
        <v>50</v>
      </c>
      <c r="H225" s="1">
        <v>88962689943</v>
      </c>
    </row>
    <row r="226" spans="1:8" x14ac:dyDescent="0.25">
      <c r="A226" s="10" t="s">
        <v>469</v>
      </c>
      <c r="B226" s="10" t="str">
        <f t="shared" si="3"/>
        <v>88962685990 AUTOMANN MEX TAPER LEAF SPRING 4613351</v>
      </c>
      <c r="C226" s="10">
        <v>17.873999999999999</v>
      </c>
      <c r="D226" s="10">
        <v>4613351</v>
      </c>
      <c r="E226" s="1" t="s">
        <v>48</v>
      </c>
      <c r="F226" s="1" t="s">
        <v>58</v>
      </c>
      <c r="G226" s="1" t="s">
        <v>50</v>
      </c>
      <c r="H226" s="1">
        <v>88962685990</v>
      </c>
    </row>
    <row r="227" spans="1:8" x14ac:dyDescent="0.25">
      <c r="A227" s="10" t="s">
        <v>470</v>
      </c>
      <c r="B227" s="10" t="str">
        <f t="shared" si="3"/>
        <v>88962685993 AUTOMANN MEX MULTI LEAF SPRING TRX198A1</v>
      </c>
      <c r="C227" s="10">
        <v>8.4540000000000006</v>
      </c>
      <c r="D227" s="10" t="s">
        <v>471</v>
      </c>
      <c r="E227" s="1" t="s">
        <v>48</v>
      </c>
      <c r="F227" s="1" t="s">
        <v>49</v>
      </c>
      <c r="G227" s="1" t="s">
        <v>50</v>
      </c>
      <c r="H227" s="1">
        <v>88962685993</v>
      </c>
    </row>
    <row r="228" spans="1:8" x14ac:dyDescent="0.25">
      <c r="A228" s="10" t="s">
        <v>472</v>
      </c>
      <c r="B228" s="10" t="str">
        <f t="shared" si="3"/>
        <v>88962686069 AUTOMANN MEX MULTI LEAF SPRING 45220B4</v>
      </c>
      <c r="C228" s="10">
        <v>18.457000000000001</v>
      </c>
      <c r="D228" s="10" t="s">
        <v>473</v>
      </c>
      <c r="E228" s="1" t="s">
        <v>48</v>
      </c>
      <c r="F228" s="1" t="s">
        <v>49</v>
      </c>
      <c r="G228" s="1" t="s">
        <v>50</v>
      </c>
      <c r="H228" s="1">
        <v>88962686069</v>
      </c>
    </row>
    <row r="229" spans="1:8" x14ac:dyDescent="0.25">
      <c r="A229" s="10" t="s">
        <v>474</v>
      </c>
      <c r="B229" s="10" t="str">
        <f t="shared" si="3"/>
        <v>88962686126 AUTOMANN MEX TAPER LEAF SPRING 5512422D</v>
      </c>
      <c r="C229" s="10">
        <v>19.552</v>
      </c>
      <c r="D229" s="10" t="s">
        <v>475</v>
      </c>
      <c r="E229" s="1" t="s">
        <v>48</v>
      </c>
      <c r="F229" s="1" t="s">
        <v>58</v>
      </c>
      <c r="G229" s="1" t="s">
        <v>50</v>
      </c>
      <c r="H229" s="1">
        <v>88962686126</v>
      </c>
    </row>
  </sheetData>
  <autoFilter ref="A1:D1" xr:uid="{F6E15D3E-B304-4E5C-B536-2134D6C44FE4}"/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8184F-7543-4FB9-99EC-7CD4AEACF785}">
  <dimension ref="A1:D234"/>
  <sheetViews>
    <sheetView showGridLines="0" tabSelected="1" view="pageBreakPreview" zoomScale="130" zoomScaleNormal="100" zoomScaleSheetLayoutView="130" workbookViewId="0">
      <pane ySplit="6" topLeftCell="A7" activePane="bottomLeft" state="frozen"/>
      <selection pane="bottomLeft" activeCell="C8" sqref="C8"/>
    </sheetView>
  </sheetViews>
  <sheetFormatPr baseColWidth="10" defaultColWidth="11.42578125" defaultRowHeight="15" x14ac:dyDescent="0.25"/>
  <cols>
    <col min="1" max="2" width="31" style="1" customWidth="1"/>
    <col min="3" max="4" width="28.5703125" style="1" customWidth="1"/>
    <col min="5" max="16384" width="11.42578125" style="1"/>
  </cols>
  <sheetData>
    <row r="1" spans="1:4" ht="15" customHeight="1" x14ac:dyDescent="0.25">
      <c r="A1" s="14"/>
      <c r="B1" s="14"/>
      <c r="C1" s="14"/>
      <c r="D1" s="14"/>
    </row>
    <row r="2" spans="1:4" ht="15" customHeight="1" x14ac:dyDescent="0.25">
      <c r="A2" s="14"/>
      <c r="B2" s="18" t="s">
        <v>476</v>
      </c>
      <c r="C2" s="18"/>
      <c r="D2" s="14"/>
    </row>
    <row r="3" spans="1:4" ht="15" customHeight="1" x14ac:dyDescent="0.25">
      <c r="A3" s="14"/>
      <c r="B3" s="18"/>
      <c r="C3" s="18"/>
      <c r="D3" s="14"/>
    </row>
    <row r="4" spans="1:4" ht="15" customHeight="1" x14ac:dyDescent="0.25">
      <c r="A4" s="14"/>
      <c r="B4" s="18"/>
      <c r="C4" s="18"/>
      <c r="D4" s="14"/>
    </row>
    <row r="6" spans="1:4" x14ac:dyDescent="0.25">
      <c r="A6" s="9" t="s">
        <v>477</v>
      </c>
      <c r="B6" s="9" t="s">
        <v>478</v>
      </c>
      <c r="C6" s="9" t="s">
        <v>479</v>
      </c>
      <c r="D6" s="9" t="s">
        <v>480</v>
      </c>
    </row>
    <row r="7" spans="1:4" x14ac:dyDescent="0.25">
      <c r="A7" s="11">
        <v>13511</v>
      </c>
      <c r="B7" s="11" t="s">
        <v>47</v>
      </c>
      <c r="C7" s="15" t="s">
        <v>481</v>
      </c>
      <c r="D7" s="11">
        <v>88962686022</v>
      </c>
    </row>
    <row r="8" spans="1:4" x14ac:dyDescent="0.25">
      <c r="A8" s="12">
        <v>43503</v>
      </c>
      <c r="B8" s="12" t="s">
        <v>51</v>
      </c>
      <c r="C8" s="16" t="s">
        <v>482</v>
      </c>
      <c r="D8" s="12">
        <v>88962686079</v>
      </c>
    </row>
    <row r="9" spans="1:4" x14ac:dyDescent="0.25">
      <c r="A9" s="12">
        <v>44103</v>
      </c>
      <c r="B9" s="12" t="s">
        <v>52</v>
      </c>
      <c r="C9" s="16" t="s">
        <v>483</v>
      </c>
      <c r="D9" s="12">
        <v>88962686085</v>
      </c>
    </row>
    <row r="10" spans="1:4" x14ac:dyDescent="0.25">
      <c r="A10" s="12">
        <v>44104</v>
      </c>
      <c r="B10" s="12" t="s">
        <v>53</v>
      </c>
      <c r="C10" s="16" t="s">
        <v>484</v>
      </c>
      <c r="D10" s="12">
        <v>88962686086</v>
      </c>
    </row>
    <row r="11" spans="1:4" x14ac:dyDescent="0.25">
      <c r="A11" s="12">
        <v>44105</v>
      </c>
      <c r="B11" s="12" t="s">
        <v>54</v>
      </c>
      <c r="C11" s="16" t="s">
        <v>485</v>
      </c>
      <c r="D11" s="12">
        <v>88962686087</v>
      </c>
    </row>
    <row r="12" spans="1:4" x14ac:dyDescent="0.25">
      <c r="A12" s="12">
        <v>45113</v>
      </c>
      <c r="B12" s="12" t="s">
        <v>55</v>
      </c>
      <c r="C12" s="16" t="s">
        <v>486</v>
      </c>
      <c r="D12" s="12">
        <v>88962686000</v>
      </c>
    </row>
    <row r="13" spans="1:4" x14ac:dyDescent="0.25">
      <c r="A13" s="12">
        <v>81201</v>
      </c>
      <c r="B13" s="12" t="s">
        <v>56</v>
      </c>
      <c r="C13" s="16" t="s">
        <v>487</v>
      </c>
      <c r="D13" s="12">
        <v>88962686074</v>
      </c>
    </row>
    <row r="14" spans="1:4" x14ac:dyDescent="0.25">
      <c r="A14" s="12">
        <v>224921</v>
      </c>
      <c r="B14" s="12" t="s">
        <v>57</v>
      </c>
      <c r="C14" s="16" t="s">
        <v>488</v>
      </c>
      <c r="D14" s="12">
        <v>88962685985</v>
      </c>
    </row>
    <row r="15" spans="1:4" x14ac:dyDescent="0.25">
      <c r="A15" s="12">
        <v>396263</v>
      </c>
      <c r="B15" s="12" t="s">
        <v>59</v>
      </c>
      <c r="C15" s="16" t="s">
        <v>489</v>
      </c>
      <c r="D15" s="12">
        <v>88962686055</v>
      </c>
    </row>
    <row r="16" spans="1:4" x14ac:dyDescent="0.25">
      <c r="A16" s="12">
        <v>462203</v>
      </c>
      <c r="B16" s="12" t="s">
        <v>60</v>
      </c>
      <c r="C16" s="16" t="s">
        <v>490</v>
      </c>
      <c r="D16" s="12">
        <v>88962686105</v>
      </c>
    </row>
    <row r="17" spans="1:4" x14ac:dyDescent="0.25">
      <c r="A17" s="12">
        <v>711591</v>
      </c>
      <c r="B17" s="12" t="s">
        <v>61</v>
      </c>
      <c r="C17" s="16" t="s">
        <v>491</v>
      </c>
      <c r="D17" s="12">
        <v>88962686051</v>
      </c>
    </row>
    <row r="18" spans="1:4" x14ac:dyDescent="0.25">
      <c r="A18" s="12">
        <v>4611931</v>
      </c>
      <c r="B18" s="12" t="s">
        <v>62</v>
      </c>
      <c r="C18" s="16" t="s">
        <v>492</v>
      </c>
      <c r="D18" s="12">
        <v>88962686031</v>
      </c>
    </row>
    <row r="19" spans="1:4" x14ac:dyDescent="0.25">
      <c r="A19" s="12">
        <v>9030049946</v>
      </c>
      <c r="B19" s="12" t="s">
        <v>63</v>
      </c>
      <c r="C19" s="16">
        <v>32323</v>
      </c>
      <c r="D19" s="12">
        <v>88962685894</v>
      </c>
    </row>
    <row r="20" spans="1:4" x14ac:dyDescent="0.25">
      <c r="A20" s="12" t="s">
        <v>65</v>
      </c>
      <c r="B20" s="12" t="s">
        <v>64</v>
      </c>
      <c r="C20" s="16">
        <v>34325</v>
      </c>
      <c r="D20" s="12">
        <v>88962685902</v>
      </c>
    </row>
    <row r="21" spans="1:4" x14ac:dyDescent="0.25">
      <c r="A21" s="12" t="s">
        <v>67</v>
      </c>
      <c r="B21" s="12" t="s">
        <v>66</v>
      </c>
      <c r="C21" s="16" t="s">
        <v>493</v>
      </c>
      <c r="D21" s="12">
        <v>88962685925</v>
      </c>
    </row>
    <row r="22" spans="1:4" x14ac:dyDescent="0.25">
      <c r="A22" s="12" t="s">
        <v>69</v>
      </c>
      <c r="B22" s="12" t="s">
        <v>68</v>
      </c>
      <c r="C22" s="16" t="s">
        <v>494</v>
      </c>
      <c r="D22" s="12">
        <v>88962685926</v>
      </c>
    </row>
    <row r="23" spans="1:4" x14ac:dyDescent="0.25">
      <c r="A23" s="12" t="s">
        <v>71</v>
      </c>
      <c r="B23" s="12" t="s">
        <v>70</v>
      </c>
      <c r="C23" s="16" t="s">
        <v>495</v>
      </c>
      <c r="D23" s="12">
        <v>88962685927</v>
      </c>
    </row>
    <row r="24" spans="1:4" x14ac:dyDescent="0.25">
      <c r="A24" s="12" t="s">
        <v>73</v>
      </c>
      <c r="B24" s="12" t="s">
        <v>72</v>
      </c>
      <c r="C24" s="16" t="s">
        <v>496</v>
      </c>
      <c r="D24" s="12">
        <v>88962685928</v>
      </c>
    </row>
    <row r="25" spans="1:4" x14ac:dyDescent="0.25">
      <c r="A25" s="12" t="s">
        <v>75</v>
      </c>
      <c r="B25" s="12" t="s">
        <v>74</v>
      </c>
      <c r="C25" s="16" t="s">
        <v>497</v>
      </c>
      <c r="D25" s="12">
        <v>88962685929</v>
      </c>
    </row>
    <row r="26" spans="1:4" x14ac:dyDescent="0.25">
      <c r="A26" s="12" t="s">
        <v>77</v>
      </c>
      <c r="B26" s="12" t="s">
        <v>76</v>
      </c>
      <c r="C26" s="16" t="s">
        <v>498</v>
      </c>
      <c r="D26" s="12">
        <v>88962685930</v>
      </c>
    </row>
    <row r="27" spans="1:4" x14ac:dyDescent="0.25">
      <c r="A27" s="12" t="s">
        <v>79</v>
      </c>
      <c r="B27" s="12" t="s">
        <v>78</v>
      </c>
      <c r="C27" s="16" t="s">
        <v>499</v>
      </c>
      <c r="D27" s="12">
        <v>88962685974</v>
      </c>
    </row>
    <row r="28" spans="1:4" x14ac:dyDescent="0.25">
      <c r="A28" s="12" t="s">
        <v>81</v>
      </c>
      <c r="B28" s="12" t="s">
        <v>80</v>
      </c>
      <c r="C28" s="16" t="s">
        <v>500</v>
      </c>
      <c r="D28" s="12">
        <v>88962685975</v>
      </c>
    </row>
    <row r="29" spans="1:4" x14ac:dyDescent="0.25">
      <c r="A29" s="12" t="s">
        <v>83</v>
      </c>
      <c r="B29" s="12" t="s">
        <v>82</v>
      </c>
      <c r="C29" s="16" t="s">
        <v>501</v>
      </c>
      <c r="D29" s="12">
        <v>88962685976</v>
      </c>
    </row>
    <row r="30" spans="1:4" x14ac:dyDescent="0.25">
      <c r="A30" s="12" t="s">
        <v>85</v>
      </c>
      <c r="B30" s="12" t="s">
        <v>84</v>
      </c>
      <c r="C30" s="16" t="s">
        <v>502</v>
      </c>
      <c r="D30" s="12">
        <v>88962685940</v>
      </c>
    </row>
    <row r="31" spans="1:4" x14ac:dyDescent="0.25">
      <c r="A31" s="12" t="s">
        <v>87</v>
      </c>
      <c r="B31" s="12" t="s">
        <v>86</v>
      </c>
      <c r="C31" s="16" t="s">
        <v>503</v>
      </c>
      <c r="D31" s="12">
        <v>88962685941</v>
      </c>
    </row>
    <row r="32" spans="1:4" x14ac:dyDescent="0.25">
      <c r="A32" s="12" t="s">
        <v>89</v>
      </c>
      <c r="B32" s="12" t="s">
        <v>88</v>
      </c>
      <c r="C32" s="16" t="s">
        <v>504</v>
      </c>
      <c r="D32" s="12">
        <v>88962685942</v>
      </c>
    </row>
    <row r="33" spans="1:4" x14ac:dyDescent="0.25">
      <c r="A33" s="12" t="s">
        <v>91</v>
      </c>
      <c r="B33" s="12" t="s">
        <v>90</v>
      </c>
      <c r="C33" s="16" t="s">
        <v>505</v>
      </c>
      <c r="D33" s="12">
        <v>88962686030</v>
      </c>
    </row>
    <row r="34" spans="1:4" x14ac:dyDescent="0.25">
      <c r="A34" s="12" t="s">
        <v>93</v>
      </c>
      <c r="B34" s="12" t="s">
        <v>92</v>
      </c>
      <c r="C34" s="16" t="s">
        <v>506</v>
      </c>
      <c r="D34" s="12">
        <v>88962686172</v>
      </c>
    </row>
    <row r="35" spans="1:4" x14ac:dyDescent="0.25">
      <c r="A35" s="12" t="s">
        <v>95</v>
      </c>
      <c r="B35" s="12" t="s">
        <v>94</v>
      </c>
      <c r="C35" s="16" t="s">
        <v>507</v>
      </c>
      <c r="D35" s="12">
        <v>88962685961</v>
      </c>
    </row>
    <row r="36" spans="1:4" x14ac:dyDescent="0.25">
      <c r="A36" s="12" t="s">
        <v>97</v>
      </c>
      <c r="B36" s="12" t="s">
        <v>96</v>
      </c>
      <c r="C36" s="16" t="s">
        <v>508</v>
      </c>
      <c r="D36" s="12">
        <v>88962685964</v>
      </c>
    </row>
    <row r="37" spans="1:4" x14ac:dyDescent="0.25">
      <c r="A37" s="12" t="s">
        <v>99</v>
      </c>
      <c r="B37" s="12" t="s">
        <v>98</v>
      </c>
      <c r="C37" s="16" t="s">
        <v>509</v>
      </c>
      <c r="D37" s="12">
        <v>88962685965</v>
      </c>
    </row>
    <row r="38" spans="1:4" x14ac:dyDescent="0.25">
      <c r="A38" s="12" t="s">
        <v>101</v>
      </c>
      <c r="B38" s="12" t="s">
        <v>100</v>
      </c>
      <c r="C38" s="16" t="s">
        <v>510</v>
      </c>
      <c r="D38" s="12">
        <v>88962685969</v>
      </c>
    </row>
    <row r="39" spans="1:4" x14ac:dyDescent="0.25">
      <c r="A39" s="12" t="s">
        <v>103</v>
      </c>
      <c r="B39" s="12" t="s">
        <v>102</v>
      </c>
      <c r="C39" s="16" t="s">
        <v>511</v>
      </c>
      <c r="D39" s="12">
        <v>88962685971</v>
      </c>
    </row>
    <row r="40" spans="1:4" x14ac:dyDescent="0.25">
      <c r="A40" s="12" t="s">
        <v>105</v>
      </c>
      <c r="B40" s="12" t="s">
        <v>104</v>
      </c>
      <c r="C40" s="16" t="s">
        <v>512</v>
      </c>
      <c r="D40" s="12">
        <v>88962685972</v>
      </c>
    </row>
    <row r="41" spans="1:4" x14ac:dyDescent="0.25">
      <c r="A41" s="12" t="s">
        <v>107</v>
      </c>
      <c r="B41" s="12" t="s">
        <v>106</v>
      </c>
      <c r="C41" s="16" t="s">
        <v>513</v>
      </c>
      <c r="D41" s="12">
        <v>88962685973</v>
      </c>
    </row>
    <row r="42" spans="1:4" x14ac:dyDescent="0.25">
      <c r="A42" s="12" t="s">
        <v>109</v>
      </c>
      <c r="B42" s="12" t="s">
        <v>108</v>
      </c>
      <c r="C42" s="16" t="s">
        <v>514</v>
      </c>
      <c r="D42" s="12">
        <v>88962685962</v>
      </c>
    </row>
    <row r="43" spans="1:4" x14ac:dyDescent="0.25">
      <c r="A43" s="12" t="s">
        <v>111</v>
      </c>
      <c r="B43" s="12" t="s">
        <v>110</v>
      </c>
      <c r="C43" s="16" t="s">
        <v>515</v>
      </c>
      <c r="D43" s="12">
        <v>88962686163</v>
      </c>
    </row>
    <row r="44" spans="1:4" x14ac:dyDescent="0.25">
      <c r="A44" s="12" t="s">
        <v>113</v>
      </c>
      <c r="B44" s="12" t="s">
        <v>112</v>
      </c>
      <c r="C44" s="16" t="s">
        <v>516</v>
      </c>
      <c r="D44" s="12">
        <v>88962685944</v>
      </c>
    </row>
    <row r="45" spans="1:4" x14ac:dyDescent="0.25">
      <c r="A45" s="12" t="s">
        <v>115</v>
      </c>
      <c r="B45" s="12" t="s">
        <v>114</v>
      </c>
      <c r="C45" s="16" t="s">
        <v>517</v>
      </c>
      <c r="D45" s="12">
        <v>88962685946</v>
      </c>
    </row>
    <row r="46" spans="1:4" x14ac:dyDescent="0.25">
      <c r="A46" s="12" t="s">
        <v>117</v>
      </c>
      <c r="B46" s="12" t="s">
        <v>116</v>
      </c>
      <c r="C46" s="16" t="s">
        <v>518</v>
      </c>
      <c r="D46" s="12">
        <v>88962685945</v>
      </c>
    </row>
    <row r="47" spans="1:4" x14ac:dyDescent="0.25">
      <c r="A47" s="12" t="s">
        <v>119</v>
      </c>
      <c r="B47" s="12" t="s">
        <v>118</v>
      </c>
      <c r="C47" s="16" t="s">
        <v>519</v>
      </c>
      <c r="D47" s="12">
        <v>88962685936</v>
      </c>
    </row>
    <row r="48" spans="1:4" x14ac:dyDescent="0.25">
      <c r="A48" s="12" t="s">
        <v>121</v>
      </c>
      <c r="B48" s="12" t="s">
        <v>120</v>
      </c>
      <c r="C48" s="16" t="s">
        <v>520</v>
      </c>
      <c r="D48" s="12">
        <v>88962685948</v>
      </c>
    </row>
    <row r="49" spans="1:4" x14ac:dyDescent="0.25">
      <c r="A49" s="12" t="s">
        <v>123</v>
      </c>
      <c r="B49" s="12" t="s">
        <v>122</v>
      </c>
      <c r="C49" s="16" t="s">
        <v>521</v>
      </c>
      <c r="D49" s="12">
        <v>88962685949</v>
      </c>
    </row>
    <row r="50" spans="1:4" x14ac:dyDescent="0.25">
      <c r="A50" s="12" t="s">
        <v>125</v>
      </c>
      <c r="B50" s="12" t="s">
        <v>124</v>
      </c>
      <c r="C50" s="16" t="s">
        <v>522</v>
      </c>
      <c r="D50" s="12">
        <v>88962685950</v>
      </c>
    </row>
    <row r="51" spans="1:4" x14ac:dyDescent="0.25">
      <c r="A51" s="12" t="s">
        <v>127</v>
      </c>
      <c r="B51" s="12" t="s">
        <v>126</v>
      </c>
      <c r="C51" s="16" t="s">
        <v>523</v>
      </c>
      <c r="D51" s="12">
        <v>88962685951</v>
      </c>
    </row>
    <row r="52" spans="1:4" x14ac:dyDescent="0.25">
      <c r="A52" s="12" t="s">
        <v>129</v>
      </c>
      <c r="B52" s="12" t="s">
        <v>128</v>
      </c>
      <c r="C52" s="16" t="s">
        <v>524</v>
      </c>
      <c r="D52" s="12">
        <v>88962685987</v>
      </c>
    </row>
    <row r="53" spans="1:4" x14ac:dyDescent="0.25">
      <c r="A53" s="12" t="s">
        <v>131</v>
      </c>
      <c r="B53" s="12" t="s">
        <v>130</v>
      </c>
      <c r="C53" s="16" t="s">
        <v>525</v>
      </c>
      <c r="D53" s="12">
        <v>88962685988</v>
      </c>
    </row>
    <row r="54" spans="1:4" x14ac:dyDescent="0.25">
      <c r="A54" s="12" t="s">
        <v>133</v>
      </c>
      <c r="B54" s="12" t="s">
        <v>132</v>
      </c>
      <c r="C54" s="16" t="s">
        <v>526</v>
      </c>
      <c r="D54" s="12">
        <v>88962685989</v>
      </c>
    </row>
    <row r="55" spans="1:4" x14ac:dyDescent="0.25">
      <c r="A55" s="12" t="s">
        <v>135</v>
      </c>
      <c r="B55" s="12" t="s">
        <v>134</v>
      </c>
      <c r="C55" s="16" t="s">
        <v>527</v>
      </c>
      <c r="D55" s="12">
        <v>88962685903</v>
      </c>
    </row>
    <row r="56" spans="1:4" x14ac:dyDescent="0.25">
      <c r="A56" s="12" t="s">
        <v>137</v>
      </c>
      <c r="B56" s="12" t="s">
        <v>136</v>
      </c>
      <c r="C56" s="16" t="s">
        <v>528</v>
      </c>
      <c r="D56" s="12">
        <v>88962686029</v>
      </c>
    </row>
    <row r="57" spans="1:4" x14ac:dyDescent="0.25">
      <c r="A57" s="12" t="s">
        <v>139</v>
      </c>
      <c r="B57" s="12" t="s">
        <v>138</v>
      </c>
      <c r="C57" s="16" t="s">
        <v>529</v>
      </c>
      <c r="D57" s="12">
        <v>88962685986</v>
      </c>
    </row>
    <row r="58" spans="1:4" x14ac:dyDescent="0.25">
      <c r="A58" s="12" t="s">
        <v>141</v>
      </c>
      <c r="B58" s="12" t="s">
        <v>140</v>
      </c>
      <c r="C58" s="16" t="s">
        <v>530</v>
      </c>
      <c r="D58" s="12">
        <v>88962686057</v>
      </c>
    </row>
    <row r="59" spans="1:4" x14ac:dyDescent="0.25">
      <c r="A59" s="12" t="s">
        <v>143</v>
      </c>
      <c r="B59" s="12" t="s">
        <v>142</v>
      </c>
      <c r="C59" s="16" t="s">
        <v>531</v>
      </c>
      <c r="D59" s="12">
        <v>88962686083</v>
      </c>
    </row>
    <row r="60" spans="1:4" x14ac:dyDescent="0.25">
      <c r="A60" s="12" t="s">
        <v>145</v>
      </c>
      <c r="B60" s="12" t="s">
        <v>144</v>
      </c>
      <c r="C60" s="16" t="s">
        <v>532</v>
      </c>
      <c r="D60" s="12">
        <v>88962686084</v>
      </c>
    </row>
    <row r="61" spans="1:4" x14ac:dyDescent="0.25">
      <c r="A61" s="12" t="s">
        <v>147</v>
      </c>
      <c r="B61" s="12" t="s">
        <v>146</v>
      </c>
      <c r="C61" s="16" t="s">
        <v>533</v>
      </c>
      <c r="D61" s="12">
        <v>88962686095</v>
      </c>
    </row>
    <row r="62" spans="1:4" x14ac:dyDescent="0.25">
      <c r="A62" s="12" t="s">
        <v>149</v>
      </c>
      <c r="B62" s="12" t="s">
        <v>148</v>
      </c>
      <c r="C62" s="16" t="s">
        <v>534</v>
      </c>
      <c r="D62" s="12">
        <v>88962686096</v>
      </c>
    </row>
    <row r="63" spans="1:4" x14ac:dyDescent="0.25">
      <c r="A63" s="12" t="s">
        <v>151</v>
      </c>
      <c r="B63" s="12" t="s">
        <v>150</v>
      </c>
      <c r="C63" s="16" t="s">
        <v>535</v>
      </c>
      <c r="D63" s="12">
        <v>88962686179</v>
      </c>
    </row>
    <row r="64" spans="1:4" x14ac:dyDescent="0.25">
      <c r="A64" s="12" t="s">
        <v>153</v>
      </c>
      <c r="B64" s="12" t="s">
        <v>152</v>
      </c>
      <c r="C64" s="16" t="s">
        <v>536</v>
      </c>
      <c r="D64" s="12">
        <v>88962686035</v>
      </c>
    </row>
    <row r="65" spans="1:4" x14ac:dyDescent="0.25">
      <c r="A65" s="12" t="s">
        <v>155</v>
      </c>
      <c r="B65" s="12" t="s">
        <v>154</v>
      </c>
      <c r="C65" s="16" t="s">
        <v>537</v>
      </c>
      <c r="D65" s="12">
        <v>88962685981</v>
      </c>
    </row>
    <row r="66" spans="1:4" x14ac:dyDescent="0.25">
      <c r="A66" s="12" t="s">
        <v>157</v>
      </c>
      <c r="B66" s="12" t="s">
        <v>156</v>
      </c>
      <c r="C66" s="16" t="s">
        <v>538</v>
      </c>
      <c r="D66" s="12">
        <v>88962686070</v>
      </c>
    </row>
    <row r="67" spans="1:4" x14ac:dyDescent="0.25">
      <c r="A67" s="12" t="s">
        <v>159</v>
      </c>
      <c r="B67" s="12" t="s">
        <v>158</v>
      </c>
      <c r="C67" s="16" t="s">
        <v>539</v>
      </c>
      <c r="D67" s="12">
        <v>88962686145</v>
      </c>
    </row>
    <row r="68" spans="1:4" x14ac:dyDescent="0.25">
      <c r="A68" s="12" t="s">
        <v>162</v>
      </c>
      <c r="B68" s="12" t="s">
        <v>161</v>
      </c>
      <c r="C68" s="16" t="s">
        <v>540</v>
      </c>
      <c r="D68" s="12">
        <v>88962686101</v>
      </c>
    </row>
    <row r="69" spans="1:4" x14ac:dyDescent="0.25">
      <c r="A69" s="12" t="s">
        <v>164</v>
      </c>
      <c r="B69" s="12" t="s">
        <v>163</v>
      </c>
      <c r="C69" s="16" t="s">
        <v>541</v>
      </c>
      <c r="D69" s="12">
        <v>88962686102</v>
      </c>
    </row>
    <row r="70" spans="1:4" x14ac:dyDescent="0.25">
      <c r="A70" s="12" t="s">
        <v>166</v>
      </c>
      <c r="B70" s="12" t="s">
        <v>165</v>
      </c>
      <c r="C70" s="16" t="s">
        <v>542</v>
      </c>
      <c r="D70" s="12">
        <v>88962686076</v>
      </c>
    </row>
    <row r="71" spans="1:4" x14ac:dyDescent="0.25">
      <c r="A71" s="12" t="s">
        <v>168</v>
      </c>
      <c r="B71" s="12" t="s">
        <v>167</v>
      </c>
      <c r="C71" s="16" t="s">
        <v>543</v>
      </c>
      <c r="D71" s="12">
        <v>88962686060</v>
      </c>
    </row>
    <row r="72" spans="1:4" x14ac:dyDescent="0.25">
      <c r="A72" s="12" t="s">
        <v>170</v>
      </c>
      <c r="B72" s="12" t="s">
        <v>169</v>
      </c>
      <c r="C72" s="16" t="s">
        <v>544</v>
      </c>
      <c r="D72" s="12">
        <v>88962685997</v>
      </c>
    </row>
    <row r="73" spans="1:4" x14ac:dyDescent="0.25">
      <c r="A73" s="12" t="s">
        <v>172</v>
      </c>
      <c r="B73" s="12" t="s">
        <v>171</v>
      </c>
      <c r="C73" s="16" t="s">
        <v>545</v>
      </c>
      <c r="D73" s="12">
        <v>88962685998</v>
      </c>
    </row>
    <row r="74" spans="1:4" x14ac:dyDescent="0.25">
      <c r="A74" s="12" t="s">
        <v>174</v>
      </c>
      <c r="B74" s="12" t="s">
        <v>173</v>
      </c>
      <c r="C74" s="16" t="s">
        <v>546</v>
      </c>
      <c r="D74" s="12">
        <v>88962685913</v>
      </c>
    </row>
    <row r="75" spans="1:4" x14ac:dyDescent="0.25">
      <c r="A75" s="12" t="s">
        <v>176</v>
      </c>
      <c r="B75" s="12" t="s">
        <v>175</v>
      </c>
      <c r="C75" s="16" t="s">
        <v>547</v>
      </c>
      <c r="D75" s="12">
        <v>88962685916</v>
      </c>
    </row>
    <row r="76" spans="1:4" x14ac:dyDescent="0.25">
      <c r="A76" s="12" t="s">
        <v>178</v>
      </c>
      <c r="B76" s="12" t="s">
        <v>177</v>
      </c>
      <c r="C76" s="16" t="s">
        <v>548</v>
      </c>
      <c r="D76" s="12">
        <v>88962686192</v>
      </c>
    </row>
    <row r="77" spans="1:4" x14ac:dyDescent="0.25">
      <c r="A77" s="12" t="s">
        <v>180</v>
      </c>
      <c r="B77" s="12" t="s">
        <v>179</v>
      </c>
      <c r="C77" s="16" t="s">
        <v>549</v>
      </c>
      <c r="D77" s="12">
        <v>88962685923</v>
      </c>
    </row>
    <row r="78" spans="1:4" x14ac:dyDescent="0.25">
      <c r="A78" s="12" t="s">
        <v>182</v>
      </c>
      <c r="B78" s="12" t="s">
        <v>181</v>
      </c>
      <c r="C78" s="16" t="s">
        <v>550</v>
      </c>
      <c r="D78" s="12">
        <v>88962685914</v>
      </c>
    </row>
    <row r="79" spans="1:4" x14ac:dyDescent="0.25">
      <c r="A79" s="12" t="s">
        <v>184</v>
      </c>
      <c r="B79" s="12" t="s">
        <v>183</v>
      </c>
      <c r="C79" s="16" t="s">
        <v>551</v>
      </c>
      <c r="D79" s="12">
        <v>88962685915</v>
      </c>
    </row>
    <row r="80" spans="1:4" x14ac:dyDescent="0.25">
      <c r="A80" s="12" t="s">
        <v>186</v>
      </c>
      <c r="B80" s="12" t="s">
        <v>185</v>
      </c>
      <c r="C80" s="16" t="s">
        <v>552</v>
      </c>
      <c r="D80" s="12">
        <v>88962685917</v>
      </c>
    </row>
    <row r="81" spans="1:4" x14ac:dyDescent="0.25">
      <c r="A81" s="12" t="s">
        <v>188</v>
      </c>
      <c r="B81" s="12" t="s">
        <v>187</v>
      </c>
      <c r="C81" s="16" t="s">
        <v>553</v>
      </c>
      <c r="D81" s="12">
        <v>88962685918</v>
      </c>
    </row>
    <row r="82" spans="1:4" x14ac:dyDescent="0.25">
      <c r="A82" s="12" t="s">
        <v>190</v>
      </c>
      <c r="B82" s="12" t="s">
        <v>189</v>
      </c>
      <c r="C82" s="16" t="s">
        <v>554</v>
      </c>
      <c r="D82" s="12">
        <v>88962686188</v>
      </c>
    </row>
    <row r="83" spans="1:4" x14ac:dyDescent="0.25">
      <c r="A83" s="12" t="s">
        <v>192</v>
      </c>
      <c r="B83" s="12" t="s">
        <v>191</v>
      </c>
      <c r="C83" s="16" t="s">
        <v>555</v>
      </c>
      <c r="D83" s="12">
        <v>88962686193</v>
      </c>
    </row>
    <row r="84" spans="1:4" x14ac:dyDescent="0.25">
      <c r="A84" s="12" t="s">
        <v>194</v>
      </c>
      <c r="B84" s="12" t="s">
        <v>193</v>
      </c>
      <c r="C84" s="16" t="s">
        <v>556</v>
      </c>
      <c r="D84" s="12">
        <v>88962685924</v>
      </c>
    </row>
    <row r="85" spans="1:4" x14ac:dyDescent="0.25">
      <c r="A85" s="12" t="s">
        <v>196</v>
      </c>
      <c r="B85" s="12" t="s">
        <v>195</v>
      </c>
      <c r="C85" s="16" t="s">
        <v>557</v>
      </c>
      <c r="D85" s="12">
        <v>88962685919</v>
      </c>
    </row>
    <row r="86" spans="1:4" x14ac:dyDescent="0.25">
      <c r="A86" s="12" t="s">
        <v>198</v>
      </c>
      <c r="B86" s="12" t="s">
        <v>197</v>
      </c>
      <c r="C86" s="16" t="s">
        <v>558</v>
      </c>
      <c r="D86" s="12">
        <v>88962686190</v>
      </c>
    </row>
    <row r="87" spans="1:4" x14ac:dyDescent="0.25">
      <c r="A87" s="12" t="s">
        <v>200</v>
      </c>
      <c r="B87" s="12" t="s">
        <v>199</v>
      </c>
      <c r="C87" s="16" t="s">
        <v>559</v>
      </c>
      <c r="D87" s="12">
        <v>88962686191</v>
      </c>
    </row>
    <row r="88" spans="1:4" x14ac:dyDescent="0.25">
      <c r="A88" s="12" t="s">
        <v>202</v>
      </c>
      <c r="B88" s="12" t="s">
        <v>201</v>
      </c>
      <c r="C88" s="16" t="s">
        <v>560</v>
      </c>
      <c r="D88" s="12">
        <v>88962686042</v>
      </c>
    </row>
    <row r="89" spans="1:4" x14ac:dyDescent="0.25">
      <c r="A89" s="12" t="s">
        <v>204</v>
      </c>
      <c r="B89" s="12" t="s">
        <v>203</v>
      </c>
      <c r="C89" s="16" t="s">
        <v>561</v>
      </c>
      <c r="D89" s="12">
        <v>88962686092</v>
      </c>
    </row>
    <row r="90" spans="1:4" x14ac:dyDescent="0.25">
      <c r="A90" s="12" t="s">
        <v>206</v>
      </c>
      <c r="B90" s="12" t="s">
        <v>205</v>
      </c>
      <c r="C90" s="16" t="s">
        <v>562</v>
      </c>
      <c r="D90" s="12">
        <v>88962686073</v>
      </c>
    </row>
    <row r="91" spans="1:4" x14ac:dyDescent="0.25">
      <c r="A91" s="12" t="s">
        <v>208</v>
      </c>
      <c r="B91" s="12" t="s">
        <v>207</v>
      </c>
      <c r="C91" s="16" t="s">
        <v>563</v>
      </c>
      <c r="D91" s="12">
        <v>88962685939</v>
      </c>
    </row>
    <row r="92" spans="1:4" x14ac:dyDescent="0.25">
      <c r="A92" s="12" t="s">
        <v>210</v>
      </c>
      <c r="B92" s="12" t="s">
        <v>209</v>
      </c>
      <c r="C92" s="16" t="s">
        <v>564</v>
      </c>
      <c r="D92" s="12">
        <v>88962686151</v>
      </c>
    </row>
    <row r="93" spans="1:4" x14ac:dyDescent="0.25">
      <c r="A93" s="12" t="s">
        <v>212</v>
      </c>
      <c r="B93" s="12" t="s">
        <v>211</v>
      </c>
      <c r="C93" s="16" t="s">
        <v>565</v>
      </c>
      <c r="D93" s="12">
        <v>88962686013</v>
      </c>
    </row>
    <row r="94" spans="1:4" x14ac:dyDescent="0.25">
      <c r="A94" s="12" t="s">
        <v>214</v>
      </c>
      <c r="B94" s="12" t="s">
        <v>213</v>
      </c>
      <c r="C94" s="16" t="s">
        <v>566</v>
      </c>
      <c r="D94" s="12">
        <v>88962685995</v>
      </c>
    </row>
    <row r="95" spans="1:4" x14ac:dyDescent="0.25">
      <c r="A95" s="12" t="s">
        <v>216</v>
      </c>
      <c r="B95" s="12" t="s">
        <v>215</v>
      </c>
      <c r="C95" s="16" t="s">
        <v>567</v>
      </c>
      <c r="D95" s="12">
        <v>88962686195</v>
      </c>
    </row>
    <row r="96" spans="1:4" x14ac:dyDescent="0.25">
      <c r="A96" s="12" t="s">
        <v>218</v>
      </c>
      <c r="B96" s="12" t="s">
        <v>217</v>
      </c>
      <c r="C96" s="16" t="s">
        <v>568</v>
      </c>
      <c r="D96" s="12">
        <v>88962686196</v>
      </c>
    </row>
    <row r="97" spans="1:4" x14ac:dyDescent="0.25">
      <c r="A97" s="12" t="s">
        <v>220</v>
      </c>
      <c r="B97" s="12" t="s">
        <v>219</v>
      </c>
      <c r="C97" s="16" t="s">
        <v>569</v>
      </c>
      <c r="D97" s="12">
        <v>88962686197</v>
      </c>
    </row>
    <row r="98" spans="1:4" x14ac:dyDescent="0.25">
      <c r="A98" s="12" t="s">
        <v>223</v>
      </c>
      <c r="B98" s="12" t="s">
        <v>222</v>
      </c>
      <c r="C98" s="16" t="s">
        <v>570</v>
      </c>
      <c r="D98" s="12">
        <v>88962686165</v>
      </c>
    </row>
    <row r="99" spans="1:4" x14ac:dyDescent="0.25">
      <c r="A99" s="12" t="s">
        <v>225</v>
      </c>
      <c r="B99" s="12" t="s">
        <v>224</v>
      </c>
      <c r="C99" s="16" t="s">
        <v>571</v>
      </c>
      <c r="D99" s="12">
        <v>88962686159</v>
      </c>
    </row>
    <row r="100" spans="1:4" x14ac:dyDescent="0.25">
      <c r="A100" s="12" t="s">
        <v>227</v>
      </c>
      <c r="B100" s="12" t="s">
        <v>226</v>
      </c>
      <c r="C100" s="16" t="s">
        <v>572</v>
      </c>
      <c r="D100" s="12">
        <v>88962686160</v>
      </c>
    </row>
    <row r="101" spans="1:4" x14ac:dyDescent="0.25">
      <c r="A101" s="12" t="s">
        <v>229</v>
      </c>
      <c r="B101" s="12" t="s">
        <v>228</v>
      </c>
      <c r="C101" s="16" t="s">
        <v>229</v>
      </c>
      <c r="D101" s="12">
        <v>88962686198</v>
      </c>
    </row>
    <row r="102" spans="1:4" x14ac:dyDescent="0.25">
      <c r="A102" s="12" t="s">
        <v>231</v>
      </c>
      <c r="B102" s="12" t="s">
        <v>230</v>
      </c>
      <c r="C102" s="16" t="s">
        <v>231</v>
      </c>
      <c r="D102" s="12">
        <v>88962686199</v>
      </c>
    </row>
    <row r="103" spans="1:4" x14ac:dyDescent="0.25">
      <c r="A103" s="12" t="s">
        <v>233</v>
      </c>
      <c r="B103" s="12" t="s">
        <v>232</v>
      </c>
      <c r="C103" s="16">
        <v>20317</v>
      </c>
      <c r="D103" s="12">
        <v>88962685861</v>
      </c>
    </row>
    <row r="104" spans="1:4" x14ac:dyDescent="0.25">
      <c r="A104" s="12" t="s">
        <v>235</v>
      </c>
      <c r="B104" s="12" t="s">
        <v>234</v>
      </c>
      <c r="C104" s="16">
        <v>20321</v>
      </c>
      <c r="D104" s="12">
        <v>88962685863</v>
      </c>
    </row>
    <row r="105" spans="1:4" x14ac:dyDescent="0.25">
      <c r="A105" s="12" t="s">
        <v>237</v>
      </c>
      <c r="B105" s="12" t="s">
        <v>236</v>
      </c>
      <c r="C105" s="16" t="s">
        <v>573</v>
      </c>
      <c r="D105" s="12">
        <v>88962685864</v>
      </c>
    </row>
    <row r="106" spans="1:4" x14ac:dyDescent="0.25">
      <c r="A106" s="12" t="s">
        <v>239</v>
      </c>
      <c r="B106" s="12" t="s">
        <v>238</v>
      </c>
      <c r="C106" s="16">
        <v>20328</v>
      </c>
      <c r="D106" s="12">
        <v>88962685866</v>
      </c>
    </row>
    <row r="107" spans="1:4" x14ac:dyDescent="0.25">
      <c r="A107" s="12" t="s">
        <v>241</v>
      </c>
      <c r="B107" s="12" t="s">
        <v>240</v>
      </c>
      <c r="C107" s="16">
        <v>20330</v>
      </c>
      <c r="D107" s="12">
        <v>88962685867</v>
      </c>
    </row>
    <row r="108" spans="1:4" x14ac:dyDescent="0.25">
      <c r="A108" s="12" t="s">
        <v>243</v>
      </c>
      <c r="B108" s="12" t="s">
        <v>242</v>
      </c>
      <c r="C108" s="16" t="s">
        <v>574</v>
      </c>
      <c r="D108" s="12">
        <v>88962685870</v>
      </c>
    </row>
    <row r="109" spans="1:4" x14ac:dyDescent="0.25">
      <c r="A109" s="12" t="s">
        <v>245</v>
      </c>
      <c r="B109" s="12" t="s">
        <v>244</v>
      </c>
      <c r="C109" s="16">
        <v>33323</v>
      </c>
      <c r="D109" s="12">
        <v>88962685901</v>
      </c>
    </row>
    <row r="110" spans="1:4" x14ac:dyDescent="0.25">
      <c r="A110" s="12" t="s">
        <v>247</v>
      </c>
      <c r="B110" s="12" t="s">
        <v>246</v>
      </c>
      <c r="C110" s="16" t="s">
        <v>575</v>
      </c>
      <c r="D110" s="12">
        <v>88962686027</v>
      </c>
    </row>
    <row r="111" spans="1:4" x14ac:dyDescent="0.25">
      <c r="A111" s="12" t="s">
        <v>249</v>
      </c>
      <c r="B111" s="12" t="s">
        <v>248</v>
      </c>
      <c r="C111" s="16" t="s">
        <v>576</v>
      </c>
      <c r="D111" s="12">
        <v>88962686026</v>
      </c>
    </row>
    <row r="112" spans="1:4" x14ac:dyDescent="0.25">
      <c r="A112" s="12" t="s">
        <v>251</v>
      </c>
      <c r="B112" s="12" t="s">
        <v>250</v>
      </c>
      <c r="C112" s="16" t="s">
        <v>577</v>
      </c>
      <c r="D112" s="12">
        <v>88962686025</v>
      </c>
    </row>
    <row r="113" spans="1:4" x14ac:dyDescent="0.25">
      <c r="A113" s="12" t="s">
        <v>253</v>
      </c>
      <c r="B113" s="12" t="s">
        <v>252</v>
      </c>
      <c r="C113" s="16" t="s">
        <v>578</v>
      </c>
      <c r="D113" s="12">
        <v>88962686024</v>
      </c>
    </row>
    <row r="114" spans="1:4" x14ac:dyDescent="0.25">
      <c r="A114" s="12" t="s">
        <v>255</v>
      </c>
      <c r="B114" s="12" t="s">
        <v>254</v>
      </c>
      <c r="C114" s="16" t="s">
        <v>579</v>
      </c>
      <c r="D114" s="12">
        <v>88962686023</v>
      </c>
    </row>
    <row r="115" spans="1:4" x14ac:dyDescent="0.25">
      <c r="A115" s="12" t="s">
        <v>257</v>
      </c>
      <c r="B115" s="12" t="s">
        <v>256</v>
      </c>
      <c r="C115" s="16" t="s">
        <v>580</v>
      </c>
      <c r="D115" s="12">
        <v>88962686021</v>
      </c>
    </row>
    <row r="116" spans="1:4" x14ac:dyDescent="0.25">
      <c r="A116" s="12" t="s">
        <v>259</v>
      </c>
      <c r="B116" s="12" t="s">
        <v>258</v>
      </c>
      <c r="C116" s="16" t="s">
        <v>581</v>
      </c>
      <c r="D116" s="12">
        <v>88962686006</v>
      </c>
    </row>
    <row r="117" spans="1:4" x14ac:dyDescent="0.25">
      <c r="A117" s="12" t="s">
        <v>261</v>
      </c>
      <c r="B117" s="12" t="s">
        <v>260</v>
      </c>
      <c r="C117" s="16" t="s">
        <v>582</v>
      </c>
      <c r="D117" s="12">
        <v>88962686005</v>
      </c>
    </row>
    <row r="118" spans="1:4" x14ac:dyDescent="0.25">
      <c r="A118" s="12" t="s">
        <v>263</v>
      </c>
      <c r="B118" s="12" t="s">
        <v>262</v>
      </c>
      <c r="C118" s="16" t="s">
        <v>583</v>
      </c>
      <c r="D118" s="12">
        <v>88962686004</v>
      </c>
    </row>
    <row r="119" spans="1:4" x14ac:dyDescent="0.25">
      <c r="A119" s="12" t="s">
        <v>265</v>
      </c>
      <c r="B119" s="12" t="s">
        <v>264</v>
      </c>
      <c r="C119" s="16" t="s">
        <v>584</v>
      </c>
      <c r="D119" s="12">
        <v>88962686003</v>
      </c>
    </row>
    <row r="120" spans="1:4" x14ac:dyDescent="0.25">
      <c r="A120" s="12" t="s">
        <v>267</v>
      </c>
      <c r="B120" s="12" t="s">
        <v>266</v>
      </c>
      <c r="C120" s="16" t="s">
        <v>585</v>
      </c>
      <c r="D120" s="12">
        <v>88962686002</v>
      </c>
    </row>
    <row r="121" spans="1:4" x14ac:dyDescent="0.25">
      <c r="A121" s="12" t="s">
        <v>269</v>
      </c>
      <c r="B121" s="12" t="s">
        <v>268</v>
      </c>
      <c r="C121" s="16" t="s">
        <v>586</v>
      </c>
      <c r="D121" s="12">
        <v>88962685897</v>
      </c>
    </row>
    <row r="122" spans="1:4" x14ac:dyDescent="0.25">
      <c r="A122" s="12" t="s">
        <v>271</v>
      </c>
      <c r="B122" s="12" t="s">
        <v>270</v>
      </c>
      <c r="C122" s="16" t="s">
        <v>587</v>
      </c>
      <c r="D122" s="12">
        <v>88962685999</v>
      </c>
    </row>
    <row r="123" spans="1:4" x14ac:dyDescent="0.25">
      <c r="A123" s="12" t="s">
        <v>273</v>
      </c>
      <c r="B123" s="12" t="s">
        <v>272</v>
      </c>
      <c r="C123" s="16" t="s">
        <v>588</v>
      </c>
      <c r="D123" s="12">
        <v>88962686012</v>
      </c>
    </row>
    <row r="124" spans="1:4" x14ac:dyDescent="0.25">
      <c r="A124" s="12" t="s">
        <v>275</v>
      </c>
      <c r="B124" s="12" t="s">
        <v>274</v>
      </c>
      <c r="C124" s="16" t="s">
        <v>589</v>
      </c>
      <c r="D124" s="12">
        <v>88962686011</v>
      </c>
    </row>
    <row r="125" spans="1:4" x14ac:dyDescent="0.25">
      <c r="A125" s="12" t="s">
        <v>277</v>
      </c>
      <c r="B125" s="12" t="s">
        <v>276</v>
      </c>
      <c r="C125" s="16" t="s">
        <v>590</v>
      </c>
      <c r="D125" s="12">
        <v>88962685956</v>
      </c>
    </row>
    <row r="126" spans="1:4" x14ac:dyDescent="0.25">
      <c r="A126" s="12">
        <v>50202</v>
      </c>
      <c r="B126" s="12" t="s">
        <v>278</v>
      </c>
      <c r="C126" s="16" t="s">
        <v>591</v>
      </c>
      <c r="D126" s="12">
        <v>88962686059</v>
      </c>
    </row>
    <row r="127" spans="1:4" x14ac:dyDescent="0.25">
      <c r="A127" s="12">
        <v>442003</v>
      </c>
      <c r="B127" s="12" t="s">
        <v>279</v>
      </c>
      <c r="C127" s="16" t="s">
        <v>592</v>
      </c>
      <c r="D127" s="12">
        <v>88962686157</v>
      </c>
    </row>
    <row r="128" spans="1:4" x14ac:dyDescent="0.25">
      <c r="A128" s="12" t="s">
        <v>281</v>
      </c>
      <c r="B128" s="12" t="s">
        <v>280</v>
      </c>
      <c r="C128" s="16" t="s">
        <v>593</v>
      </c>
      <c r="D128" s="12">
        <v>88962686103</v>
      </c>
    </row>
    <row r="129" spans="1:4" x14ac:dyDescent="0.25">
      <c r="A129" s="12">
        <v>942001</v>
      </c>
      <c r="B129" s="12" t="s">
        <v>282</v>
      </c>
      <c r="C129" s="16" t="s">
        <v>594</v>
      </c>
      <c r="D129" s="12">
        <v>88962686109</v>
      </c>
    </row>
    <row r="130" spans="1:4" x14ac:dyDescent="0.25">
      <c r="A130" s="12">
        <v>4612802</v>
      </c>
      <c r="B130" s="12" t="s">
        <v>283</v>
      </c>
      <c r="C130" s="16" t="s">
        <v>595</v>
      </c>
      <c r="D130" s="12">
        <v>88962686107</v>
      </c>
    </row>
    <row r="131" spans="1:4" x14ac:dyDescent="0.25">
      <c r="A131" s="12" t="s">
        <v>285</v>
      </c>
      <c r="B131" s="12" t="s">
        <v>284</v>
      </c>
      <c r="C131" s="16" t="s">
        <v>596</v>
      </c>
      <c r="D131" s="12">
        <v>88962686094</v>
      </c>
    </row>
    <row r="132" spans="1:4" x14ac:dyDescent="0.25">
      <c r="A132" s="12" t="s">
        <v>287</v>
      </c>
      <c r="B132" s="12" t="s">
        <v>286</v>
      </c>
      <c r="C132" s="16" t="s">
        <v>597</v>
      </c>
      <c r="D132" s="12">
        <v>88962686178</v>
      </c>
    </row>
    <row r="133" spans="1:4" x14ac:dyDescent="0.25">
      <c r="A133" s="12" t="s">
        <v>289</v>
      </c>
      <c r="B133" s="12" t="s">
        <v>288</v>
      </c>
      <c r="C133" s="16" t="s">
        <v>598</v>
      </c>
      <c r="D133" s="12">
        <v>88962686125</v>
      </c>
    </row>
    <row r="134" spans="1:4" x14ac:dyDescent="0.25">
      <c r="A134" s="12">
        <v>4612402</v>
      </c>
      <c r="B134" s="12" t="s">
        <v>290</v>
      </c>
      <c r="C134" s="16" t="s">
        <v>599</v>
      </c>
      <c r="D134" s="12">
        <v>88962686127</v>
      </c>
    </row>
    <row r="135" spans="1:4" x14ac:dyDescent="0.25">
      <c r="A135" s="12" t="s">
        <v>292</v>
      </c>
      <c r="B135" s="12" t="s">
        <v>291</v>
      </c>
      <c r="C135" s="16" t="s">
        <v>600</v>
      </c>
      <c r="D135" s="12">
        <v>88962686131</v>
      </c>
    </row>
    <row r="136" spans="1:4" x14ac:dyDescent="0.25">
      <c r="A136" s="12" t="s">
        <v>294</v>
      </c>
      <c r="B136" s="12" t="s">
        <v>293</v>
      </c>
      <c r="C136" s="16" t="s">
        <v>601</v>
      </c>
      <c r="D136" s="12">
        <v>88962686058</v>
      </c>
    </row>
    <row r="137" spans="1:4" x14ac:dyDescent="0.25">
      <c r="A137" s="12" t="s">
        <v>296</v>
      </c>
      <c r="B137" s="12" t="s">
        <v>295</v>
      </c>
      <c r="C137" s="16" t="s">
        <v>602</v>
      </c>
      <c r="D137" s="12">
        <v>88962686130</v>
      </c>
    </row>
    <row r="138" spans="1:4" x14ac:dyDescent="0.25">
      <c r="A138" s="12" t="s">
        <v>298</v>
      </c>
      <c r="B138" s="12" t="s">
        <v>297</v>
      </c>
      <c r="C138" s="16" t="s">
        <v>603</v>
      </c>
      <c r="D138" s="12">
        <v>88962686143</v>
      </c>
    </row>
    <row r="139" spans="1:4" x14ac:dyDescent="0.25">
      <c r="A139" s="12" t="s">
        <v>300</v>
      </c>
      <c r="B139" s="12" t="s">
        <v>299</v>
      </c>
      <c r="C139" s="16" t="s">
        <v>604</v>
      </c>
      <c r="D139" s="12">
        <v>88962686146</v>
      </c>
    </row>
    <row r="140" spans="1:4" x14ac:dyDescent="0.25">
      <c r="A140" s="12" t="s">
        <v>302</v>
      </c>
      <c r="B140" s="12" t="s">
        <v>301</v>
      </c>
      <c r="C140" s="16" t="s">
        <v>605</v>
      </c>
      <c r="D140" s="12">
        <v>88962689932</v>
      </c>
    </row>
    <row r="141" spans="1:4" x14ac:dyDescent="0.25">
      <c r="A141" s="12" t="s">
        <v>304</v>
      </c>
      <c r="B141" s="12" t="s">
        <v>303</v>
      </c>
      <c r="C141" s="16" t="s">
        <v>606</v>
      </c>
      <c r="D141" s="12">
        <v>88962686135</v>
      </c>
    </row>
    <row r="142" spans="1:4" x14ac:dyDescent="0.25">
      <c r="A142" s="12" t="s">
        <v>306</v>
      </c>
      <c r="B142" s="12" t="s">
        <v>305</v>
      </c>
      <c r="C142" s="16" t="s">
        <v>607</v>
      </c>
      <c r="D142" s="12">
        <v>88962686137</v>
      </c>
    </row>
    <row r="143" spans="1:4" x14ac:dyDescent="0.25">
      <c r="A143" s="12" t="s">
        <v>308</v>
      </c>
      <c r="B143" s="12" t="s">
        <v>307</v>
      </c>
      <c r="C143" s="16" t="s">
        <v>608</v>
      </c>
      <c r="D143" s="12">
        <v>88962686111</v>
      </c>
    </row>
    <row r="144" spans="1:4" x14ac:dyDescent="0.25">
      <c r="A144" s="12" t="s">
        <v>310</v>
      </c>
      <c r="B144" s="12" t="s">
        <v>309</v>
      </c>
      <c r="C144" s="16" t="s">
        <v>609</v>
      </c>
      <c r="D144" s="12">
        <v>88962686141</v>
      </c>
    </row>
    <row r="145" spans="1:4" x14ac:dyDescent="0.25">
      <c r="A145" s="12" t="s">
        <v>312</v>
      </c>
      <c r="B145" s="12" t="s">
        <v>311</v>
      </c>
      <c r="C145" s="16" t="s">
        <v>610</v>
      </c>
      <c r="D145" s="12">
        <v>88962686142</v>
      </c>
    </row>
    <row r="146" spans="1:4" x14ac:dyDescent="0.25">
      <c r="A146" s="12" t="s">
        <v>314</v>
      </c>
      <c r="B146" s="12" t="s">
        <v>313</v>
      </c>
      <c r="C146" s="16" t="s">
        <v>611</v>
      </c>
      <c r="D146" s="12">
        <v>88962686139</v>
      </c>
    </row>
    <row r="147" spans="1:4" x14ac:dyDescent="0.25">
      <c r="A147" s="12" t="s">
        <v>316</v>
      </c>
      <c r="B147" s="12" t="s">
        <v>315</v>
      </c>
      <c r="C147" s="16" t="s">
        <v>612</v>
      </c>
      <c r="D147" s="12">
        <v>88962686140</v>
      </c>
    </row>
    <row r="148" spans="1:4" x14ac:dyDescent="0.25">
      <c r="A148" s="12" t="s">
        <v>318</v>
      </c>
      <c r="B148" s="12" t="s">
        <v>317</v>
      </c>
      <c r="C148" s="16" t="s">
        <v>613</v>
      </c>
      <c r="D148" s="12">
        <v>88962686121</v>
      </c>
    </row>
    <row r="149" spans="1:4" x14ac:dyDescent="0.25">
      <c r="A149" s="12" t="s">
        <v>320</v>
      </c>
      <c r="B149" s="12" t="s">
        <v>319</v>
      </c>
      <c r="C149" s="16" t="s">
        <v>614</v>
      </c>
      <c r="D149" s="12">
        <v>88962686122</v>
      </c>
    </row>
    <row r="150" spans="1:4" x14ac:dyDescent="0.25">
      <c r="A150" s="12" t="s">
        <v>322</v>
      </c>
      <c r="B150" s="12" t="s">
        <v>321</v>
      </c>
      <c r="C150" s="16" t="s">
        <v>615</v>
      </c>
      <c r="D150" s="12">
        <v>88962686123</v>
      </c>
    </row>
    <row r="151" spans="1:4" x14ac:dyDescent="0.25">
      <c r="A151" s="12" t="s">
        <v>324</v>
      </c>
      <c r="B151" s="12" t="s">
        <v>323</v>
      </c>
      <c r="C151" s="16" t="s">
        <v>616</v>
      </c>
      <c r="D151" s="12">
        <v>88962686110</v>
      </c>
    </row>
    <row r="152" spans="1:4" x14ac:dyDescent="0.25">
      <c r="A152" s="12" t="s">
        <v>326</v>
      </c>
      <c r="B152" s="12" t="s">
        <v>325</v>
      </c>
      <c r="C152" s="16" t="s">
        <v>617</v>
      </c>
      <c r="D152" s="12">
        <v>88962686119</v>
      </c>
    </row>
    <row r="153" spans="1:4" x14ac:dyDescent="0.25">
      <c r="A153" s="12" t="s">
        <v>328</v>
      </c>
      <c r="B153" s="12" t="s">
        <v>327</v>
      </c>
      <c r="C153" s="16" t="s">
        <v>618</v>
      </c>
      <c r="D153" s="12">
        <v>88962686120</v>
      </c>
    </row>
    <row r="154" spans="1:4" x14ac:dyDescent="0.25">
      <c r="A154" s="12" t="s">
        <v>330</v>
      </c>
      <c r="B154" s="12" t="s">
        <v>329</v>
      </c>
      <c r="C154" s="16" t="s">
        <v>619</v>
      </c>
      <c r="D154" s="12">
        <v>88962686115</v>
      </c>
    </row>
    <row r="155" spans="1:4" x14ac:dyDescent="0.25">
      <c r="A155" s="12" t="s">
        <v>332</v>
      </c>
      <c r="B155" s="12" t="s">
        <v>331</v>
      </c>
      <c r="C155" s="16" t="s">
        <v>620</v>
      </c>
      <c r="D155" s="12">
        <v>88962686117</v>
      </c>
    </row>
    <row r="156" spans="1:4" x14ac:dyDescent="0.25">
      <c r="A156" s="12" t="s">
        <v>334</v>
      </c>
      <c r="B156" s="12" t="s">
        <v>333</v>
      </c>
      <c r="C156" s="16" t="s">
        <v>621</v>
      </c>
      <c r="D156" s="12">
        <v>88962686124</v>
      </c>
    </row>
    <row r="157" spans="1:4" x14ac:dyDescent="0.25">
      <c r="A157" s="12" t="s">
        <v>336</v>
      </c>
      <c r="B157" s="12" t="s">
        <v>335</v>
      </c>
      <c r="C157" s="16" t="s">
        <v>622</v>
      </c>
      <c r="D157" s="12">
        <v>88962624500</v>
      </c>
    </row>
    <row r="158" spans="1:4" x14ac:dyDescent="0.25">
      <c r="A158" s="12" t="s">
        <v>338</v>
      </c>
      <c r="B158" s="12" t="s">
        <v>337</v>
      </c>
      <c r="C158" s="16" t="s">
        <v>338</v>
      </c>
      <c r="D158" s="12">
        <v>88962622702</v>
      </c>
    </row>
    <row r="159" spans="1:4" x14ac:dyDescent="0.25">
      <c r="A159" s="12">
        <v>437781</v>
      </c>
      <c r="B159" s="12" t="s">
        <v>339</v>
      </c>
      <c r="C159" s="16" t="s">
        <v>623</v>
      </c>
      <c r="D159" s="12">
        <v>88962689933</v>
      </c>
    </row>
    <row r="160" spans="1:4" x14ac:dyDescent="0.25">
      <c r="A160" s="12" t="s">
        <v>341</v>
      </c>
      <c r="B160" s="12" t="s">
        <v>340</v>
      </c>
      <c r="C160" s="16" t="s">
        <v>624</v>
      </c>
      <c r="D160" s="12">
        <v>88962689936</v>
      </c>
    </row>
    <row r="161" spans="1:4" x14ac:dyDescent="0.25">
      <c r="A161" s="12">
        <v>4612442</v>
      </c>
      <c r="B161" s="12" t="s">
        <v>342</v>
      </c>
      <c r="C161" s="16" t="s">
        <v>625</v>
      </c>
      <c r="D161" s="12">
        <v>88962689937</v>
      </c>
    </row>
    <row r="162" spans="1:4" x14ac:dyDescent="0.25">
      <c r="A162" s="12" t="s">
        <v>344</v>
      </c>
      <c r="B162" s="12" t="s">
        <v>343</v>
      </c>
      <c r="C162" s="16" t="s">
        <v>626</v>
      </c>
      <c r="D162" s="12">
        <v>88962689944</v>
      </c>
    </row>
    <row r="163" spans="1:4" x14ac:dyDescent="0.25">
      <c r="A163" s="12" t="s">
        <v>346</v>
      </c>
      <c r="B163" s="12" t="s">
        <v>345</v>
      </c>
      <c r="C163" s="16" t="s">
        <v>627</v>
      </c>
      <c r="D163" s="12">
        <v>88962689948</v>
      </c>
    </row>
    <row r="164" spans="1:4" x14ac:dyDescent="0.25">
      <c r="A164" s="12">
        <v>551326</v>
      </c>
      <c r="B164" s="12" t="s">
        <v>347</v>
      </c>
      <c r="C164" s="16" t="s">
        <v>628</v>
      </c>
      <c r="D164" s="12">
        <v>88962686113</v>
      </c>
    </row>
    <row r="165" spans="1:4" x14ac:dyDescent="0.25">
      <c r="A165" s="12">
        <v>4612171</v>
      </c>
      <c r="B165" s="12" t="s">
        <v>349</v>
      </c>
      <c r="C165" s="16" t="s">
        <v>629</v>
      </c>
      <c r="D165" s="12">
        <v>88962686050</v>
      </c>
    </row>
    <row r="166" spans="1:4" x14ac:dyDescent="0.25">
      <c r="A166" s="12" t="s">
        <v>351</v>
      </c>
      <c r="B166" s="12" t="s">
        <v>350</v>
      </c>
      <c r="C166" s="16" t="s">
        <v>630</v>
      </c>
      <c r="D166" s="12">
        <v>88962686184</v>
      </c>
    </row>
    <row r="167" spans="1:4" x14ac:dyDescent="0.25">
      <c r="A167" s="12" t="s">
        <v>353</v>
      </c>
      <c r="B167" s="12" t="s">
        <v>352</v>
      </c>
      <c r="C167" s="16" t="s">
        <v>631</v>
      </c>
      <c r="D167" s="12">
        <v>88962685886</v>
      </c>
    </row>
    <row r="168" spans="1:4" x14ac:dyDescent="0.25">
      <c r="A168" s="12" t="s">
        <v>355</v>
      </c>
      <c r="B168" s="12" t="s">
        <v>354</v>
      </c>
      <c r="C168" s="16" t="s">
        <v>632</v>
      </c>
      <c r="D168" s="12">
        <v>88962686144</v>
      </c>
    </row>
    <row r="169" spans="1:4" x14ac:dyDescent="0.25">
      <c r="A169" s="12" t="s">
        <v>357</v>
      </c>
      <c r="B169" s="12" t="s">
        <v>356</v>
      </c>
      <c r="C169" s="16" t="s">
        <v>633</v>
      </c>
      <c r="D169" s="12">
        <v>88962624501</v>
      </c>
    </row>
    <row r="170" spans="1:4" x14ac:dyDescent="0.25">
      <c r="A170" s="12" t="s">
        <v>359</v>
      </c>
      <c r="B170" s="12" t="s">
        <v>358</v>
      </c>
      <c r="C170" s="16" t="s">
        <v>634</v>
      </c>
      <c r="D170" s="12">
        <v>88962686194</v>
      </c>
    </row>
    <row r="171" spans="1:4" x14ac:dyDescent="0.25">
      <c r="A171" s="12">
        <v>9017532365</v>
      </c>
      <c r="B171" s="12" t="s">
        <v>360</v>
      </c>
      <c r="C171" s="16" t="s">
        <v>635</v>
      </c>
      <c r="D171" s="12">
        <v>88962685859</v>
      </c>
    </row>
    <row r="172" spans="1:4" x14ac:dyDescent="0.25">
      <c r="A172" s="12" t="s">
        <v>362</v>
      </c>
      <c r="B172" s="12" t="s">
        <v>361</v>
      </c>
      <c r="C172" s="16" t="s">
        <v>636</v>
      </c>
      <c r="D172" s="12">
        <v>88962686118</v>
      </c>
    </row>
    <row r="173" spans="1:4" x14ac:dyDescent="0.25">
      <c r="A173" s="12" t="s">
        <v>364</v>
      </c>
      <c r="B173" s="12" t="s">
        <v>363</v>
      </c>
      <c r="C173" s="16" t="s">
        <v>637</v>
      </c>
      <c r="D173" s="12">
        <v>88962686133</v>
      </c>
    </row>
    <row r="174" spans="1:4" x14ac:dyDescent="0.25">
      <c r="A174" s="12" t="s">
        <v>366</v>
      </c>
      <c r="B174" s="12" t="s">
        <v>365</v>
      </c>
      <c r="C174" s="16" t="s">
        <v>638</v>
      </c>
      <c r="D174" s="12">
        <v>88962686062</v>
      </c>
    </row>
    <row r="175" spans="1:4" x14ac:dyDescent="0.25">
      <c r="A175" s="12">
        <v>711581</v>
      </c>
      <c r="B175" s="12" t="s">
        <v>367</v>
      </c>
      <c r="C175" s="16" t="s">
        <v>639</v>
      </c>
      <c r="D175" s="12">
        <v>88962686052</v>
      </c>
    </row>
    <row r="176" spans="1:4" x14ac:dyDescent="0.25">
      <c r="A176" s="12" t="s">
        <v>369</v>
      </c>
      <c r="B176" s="12" t="s">
        <v>368</v>
      </c>
      <c r="C176" s="16" t="s">
        <v>640</v>
      </c>
      <c r="D176" s="12">
        <v>88962686080</v>
      </c>
    </row>
    <row r="177" spans="1:4" x14ac:dyDescent="0.25">
      <c r="A177" s="12" t="s">
        <v>371</v>
      </c>
      <c r="B177" s="12" t="s">
        <v>370</v>
      </c>
      <c r="C177" s="16" t="s">
        <v>641</v>
      </c>
      <c r="D177" s="12">
        <v>88962686155</v>
      </c>
    </row>
    <row r="178" spans="1:4" x14ac:dyDescent="0.25">
      <c r="A178" s="12" t="s">
        <v>373</v>
      </c>
      <c r="B178" s="12" t="s">
        <v>372</v>
      </c>
      <c r="C178" s="16" t="s">
        <v>642</v>
      </c>
      <c r="D178" s="12">
        <v>88962686129</v>
      </c>
    </row>
    <row r="179" spans="1:4" x14ac:dyDescent="0.25">
      <c r="A179" s="12" t="s">
        <v>375</v>
      </c>
      <c r="B179" s="12" t="s">
        <v>374</v>
      </c>
      <c r="C179" s="16" t="s">
        <v>643</v>
      </c>
      <c r="D179" s="12">
        <v>88962686114</v>
      </c>
    </row>
    <row r="180" spans="1:4" x14ac:dyDescent="0.25">
      <c r="A180" s="12" t="s">
        <v>377</v>
      </c>
      <c r="B180" s="12" t="s">
        <v>376</v>
      </c>
      <c r="C180" s="16" t="s">
        <v>644</v>
      </c>
      <c r="D180" s="12">
        <v>88962686106</v>
      </c>
    </row>
    <row r="181" spans="1:4" x14ac:dyDescent="0.25">
      <c r="A181" s="12">
        <v>462202</v>
      </c>
      <c r="B181" s="12" t="s">
        <v>378</v>
      </c>
      <c r="C181" s="16" t="s">
        <v>645</v>
      </c>
      <c r="D181" s="12">
        <v>88962686104</v>
      </c>
    </row>
    <row r="182" spans="1:4" x14ac:dyDescent="0.25">
      <c r="A182" s="12" t="s">
        <v>380</v>
      </c>
      <c r="B182" s="12" t="s">
        <v>379</v>
      </c>
      <c r="C182" s="16" t="s">
        <v>646</v>
      </c>
      <c r="D182" s="12">
        <v>88962689931</v>
      </c>
    </row>
    <row r="183" spans="1:4" x14ac:dyDescent="0.25">
      <c r="A183" s="12" t="s">
        <v>382</v>
      </c>
      <c r="B183" s="12" t="s">
        <v>381</v>
      </c>
      <c r="C183" s="16" t="s">
        <v>647</v>
      </c>
      <c r="D183" s="12">
        <v>88962686126</v>
      </c>
    </row>
    <row r="184" spans="1:4" x14ac:dyDescent="0.25">
      <c r="A184" s="12">
        <v>9613082</v>
      </c>
      <c r="B184" s="12" t="s">
        <v>383</v>
      </c>
      <c r="C184" s="16" t="s">
        <v>648</v>
      </c>
      <c r="D184" s="12">
        <v>88962686134</v>
      </c>
    </row>
    <row r="185" spans="1:4" x14ac:dyDescent="0.25">
      <c r="A185" s="12" t="s">
        <v>385</v>
      </c>
      <c r="B185" s="12" t="s">
        <v>384</v>
      </c>
      <c r="C185" s="16" t="s">
        <v>649</v>
      </c>
      <c r="D185" s="12">
        <v>88962686075</v>
      </c>
    </row>
    <row r="186" spans="1:4" x14ac:dyDescent="0.25">
      <c r="A186" s="12">
        <v>396264</v>
      </c>
      <c r="B186" s="12" t="s">
        <v>386</v>
      </c>
      <c r="C186" s="16" t="s">
        <v>650</v>
      </c>
      <c r="D186" s="12">
        <v>88962686056</v>
      </c>
    </row>
    <row r="187" spans="1:4" x14ac:dyDescent="0.25">
      <c r="A187" s="12" t="s">
        <v>388</v>
      </c>
      <c r="B187" s="12" t="s">
        <v>387</v>
      </c>
      <c r="C187" s="16" t="s">
        <v>651</v>
      </c>
      <c r="D187" s="12">
        <v>88962686090</v>
      </c>
    </row>
    <row r="188" spans="1:4" x14ac:dyDescent="0.25">
      <c r="A188" s="12" t="s">
        <v>390</v>
      </c>
      <c r="B188" s="12" t="s">
        <v>389</v>
      </c>
      <c r="C188" s="16" t="s">
        <v>652</v>
      </c>
      <c r="D188" s="12">
        <v>88962685957</v>
      </c>
    </row>
    <row r="189" spans="1:4" x14ac:dyDescent="0.25">
      <c r="A189" s="12">
        <v>13520</v>
      </c>
      <c r="B189" s="12" t="s">
        <v>391</v>
      </c>
      <c r="C189" s="16" t="s">
        <v>653</v>
      </c>
      <c r="D189" s="12">
        <v>88962686015</v>
      </c>
    </row>
    <row r="190" spans="1:4" x14ac:dyDescent="0.25">
      <c r="A190" s="12" t="s">
        <v>393</v>
      </c>
      <c r="B190" s="12" t="s">
        <v>392</v>
      </c>
      <c r="C190" s="16" t="s">
        <v>654</v>
      </c>
      <c r="D190" s="12">
        <v>88962685932</v>
      </c>
    </row>
    <row r="191" spans="1:4" x14ac:dyDescent="0.25">
      <c r="A191" s="12" t="s">
        <v>395</v>
      </c>
      <c r="B191" s="12" t="s">
        <v>394</v>
      </c>
      <c r="C191" s="16" t="s">
        <v>655</v>
      </c>
      <c r="D191" s="12">
        <v>88962686170</v>
      </c>
    </row>
    <row r="192" spans="1:4" x14ac:dyDescent="0.25">
      <c r="A192" s="12" t="s">
        <v>397</v>
      </c>
      <c r="B192" s="12" t="s">
        <v>396</v>
      </c>
      <c r="C192" s="16" t="s">
        <v>656</v>
      </c>
      <c r="D192" s="12">
        <v>88962686136</v>
      </c>
    </row>
    <row r="193" spans="1:4" x14ac:dyDescent="0.25">
      <c r="A193" s="12">
        <v>452002</v>
      </c>
      <c r="B193" s="12" t="s">
        <v>398</v>
      </c>
      <c r="C193" s="16" t="s">
        <v>657</v>
      </c>
      <c r="D193" s="12">
        <v>88962686063</v>
      </c>
    </row>
    <row r="194" spans="1:4" x14ac:dyDescent="0.25">
      <c r="A194" s="12">
        <v>559642</v>
      </c>
      <c r="B194" s="12" t="s">
        <v>399</v>
      </c>
      <c r="C194" s="16" t="s">
        <v>658</v>
      </c>
      <c r="D194" s="12">
        <v>88962686112</v>
      </c>
    </row>
    <row r="195" spans="1:4" x14ac:dyDescent="0.25">
      <c r="A195" s="12" t="s">
        <v>401</v>
      </c>
      <c r="B195" s="12" t="s">
        <v>400</v>
      </c>
      <c r="C195" s="16" t="s">
        <v>659</v>
      </c>
      <c r="D195" s="12">
        <v>88962685984</v>
      </c>
    </row>
    <row r="196" spans="1:4" x14ac:dyDescent="0.25">
      <c r="A196" s="12">
        <v>437742</v>
      </c>
      <c r="B196" s="12" t="s">
        <v>402</v>
      </c>
      <c r="C196" s="16" t="s">
        <v>660</v>
      </c>
      <c r="D196" s="12">
        <v>88962689930</v>
      </c>
    </row>
    <row r="197" spans="1:4" x14ac:dyDescent="0.25">
      <c r="A197" s="12" t="s">
        <v>404</v>
      </c>
      <c r="B197" s="12" t="s">
        <v>403</v>
      </c>
      <c r="C197" s="16" t="s">
        <v>661</v>
      </c>
      <c r="D197" s="12">
        <v>88962686180</v>
      </c>
    </row>
    <row r="198" spans="1:4" x14ac:dyDescent="0.25">
      <c r="A198" s="12" t="s">
        <v>406</v>
      </c>
      <c r="B198" s="12" t="s">
        <v>405</v>
      </c>
      <c r="C198" s="16" t="s">
        <v>662</v>
      </c>
      <c r="D198" s="12">
        <v>88962686001</v>
      </c>
    </row>
    <row r="199" spans="1:4" x14ac:dyDescent="0.25">
      <c r="A199" s="12" t="s">
        <v>408</v>
      </c>
      <c r="B199" s="12" t="s">
        <v>407</v>
      </c>
      <c r="C199" s="16" t="s">
        <v>663</v>
      </c>
      <c r="D199" s="12">
        <v>88962685906</v>
      </c>
    </row>
    <row r="200" spans="1:4" x14ac:dyDescent="0.25">
      <c r="A200" s="12" t="s">
        <v>410</v>
      </c>
      <c r="B200" s="12" t="s">
        <v>409</v>
      </c>
      <c r="C200" s="16" t="s">
        <v>664</v>
      </c>
      <c r="D200" s="12">
        <v>88962686168</v>
      </c>
    </row>
    <row r="201" spans="1:4" x14ac:dyDescent="0.25">
      <c r="A201" s="12" t="s">
        <v>412</v>
      </c>
      <c r="B201" s="12" t="s">
        <v>411</v>
      </c>
      <c r="C201" s="16" t="s">
        <v>665</v>
      </c>
      <c r="D201" s="12">
        <v>88962689942</v>
      </c>
    </row>
    <row r="202" spans="1:4" x14ac:dyDescent="0.25">
      <c r="A202" s="12" t="s">
        <v>414</v>
      </c>
      <c r="B202" s="12" t="s">
        <v>413</v>
      </c>
      <c r="C202" s="16" t="s">
        <v>666</v>
      </c>
      <c r="D202" s="12">
        <v>88962686148</v>
      </c>
    </row>
    <row r="203" spans="1:4" x14ac:dyDescent="0.25">
      <c r="A203" s="12" t="s">
        <v>416</v>
      </c>
      <c r="B203" s="12" t="s">
        <v>415</v>
      </c>
      <c r="C203" s="16" t="s">
        <v>667</v>
      </c>
      <c r="D203" s="12">
        <v>88962686053</v>
      </c>
    </row>
    <row r="204" spans="1:4" x14ac:dyDescent="0.25">
      <c r="A204" s="12" t="s">
        <v>418</v>
      </c>
      <c r="B204" s="12" t="s">
        <v>417</v>
      </c>
      <c r="C204" s="16" t="s">
        <v>668</v>
      </c>
      <c r="D204" s="12">
        <v>88962686041</v>
      </c>
    </row>
    <row r="205" spans="1:4" x14ac:dyDescent="0.25">
      <c r="A205" s="12">
        <v>437741</v>
      </c>
      <c r="B205" s="12" t="s">
        <v>419</v>
      </c>
      <c r="C205" s="16" t="s">
        <v>669</v>
      </c>
      <c r="D205" s="12">
        <v>88962689929</v>
      </c>
    </row>
    <row r="206" spans="1:4" x14ac:dyDescent="0.25">
      <c r="A206" s="12" t="s">
        <v>422</v>
      </c>
      <c r="B206" s="12" t="s">
        <v>421</v>
      </c>
      <c r="C206" s="16" t="s">
        <v>422</v>
      </c>
      <c r="D206" s="12">
        <v>88962622701</v>
      </c>
    </row>
    <row r="207" spans="1:4" x14ac:dyDescent="0.25">
      <c r="A207" s="12" t="s">
        <v>424</v>
      </c>
      <c r="B207" s="12" t="s">
        <v>423</v>
      </c>
      <c r="C207" s="16">
        <v>20326</v>
      </c>
      <c r="D207" s="12">
        <v>88962685865</v>
      </c>
    </row>
    <row r="208" spans="1:4" x14ac:dyDescent="0.25">
      <c r="A208" s="12" t="s">
        <v>426</v>
      </c>
      <c r="B208" s="12" t="s">
        <v>425</v>
      </c>
      <c r="C208" s="16" t="s">
        <v>670</v>
      </c>
      <c r="D208" s="12">
        <v>88962685898</v>
      </c>
    </row>
    <row r="209" spans="1:4" x14ac:dyDescent="0.25">
      <c r="A209" s="12" t="s">
        <v>428</v>
      </c>
      <c r="B209" s="12" t="s">
        <v>427</v>
      </c>
      <c r="C209" s="16" t="s">
        <v>671</v>
      </c>
      <c r="D209" s="12">
        <v>88962685992</v>
      </c>
    </row>
    <row r="210" spans="1:4" x14ac:dyDescent="0.25">
      <c r="A210" s="12" t="s">
        <v>430</v>
      </c>
      <c r="B210" s="12" t="s">
        <v>429</v>
      </c>
      <c r="C210" s="16" t="s">
        <v>672</v>
      </c>
      <c r="D210" s="12">
        <v>88962686014</v>
      </c>
    </row>
    <row r="211" spans="1:4" x14ac:dyDescent="0.25">
      <c r="A211" s="12" t="s">
        <v>432</v>
      </c>
      <c r="B211" s="12" t="s">
        <v>431</v>
      </c>
      <c r="C211" s="16">
        <v>25321</v>
      </c>
      <c r="D211" s="12">
        <v>88962685877</v>
      </c>
    </row>
    <row r="212" spans="1:4" x14ac:dyDescent="0.25">
      <c r="A212" s="12" t="s">
        <v>434</v>
      </c>
      <c r="B212" s="12" t="s">
        <v>433</v>
      </c>
      <c r="C212" s="16">
        <v>24330</v>
      </c>
      <c r="D212" s="12">
        <v>88962685875</v>
      </c>
    </row>
    <row r="213" spans="1:4" x14ac:dyDescent="0.25">
      <c r="A213" s="12">
        <v>4613192</v>
      </c>
      <c r="B213" s="12" t="s">
        <v>435</v>
      </c>
      <c r="C213" s="16" t="s">
        <v>673</v>
      </c>
      <c r="D213" s="12">
        <v>88962686054</v>
      </c>
    </row>
    <row r="214" spans="1:4" x14ac:dyDescent="0.25">
      <c r="A214" s="12" t="s">
        <v>437</v>
      </c>
      <c r="B214" s="12" t="s">
        <v>436</v>
      </c>
      <c r="C214" s="16" t="s">
        <v>674</v>
      </c>
      <c r="D214" s="12">
        <v>88962685963</v>
      </c>
    </row>
    <row r="215" spans="1:4" x14ac:dyDescent="0.25">
      <c r="A215" s="12" t="s">
        <v>439</v>
      </c>
      <c r="B215" s="12" t="s">
        <v>438</v>
      </c>
      <c r="C215" s="16">
        <v>23326</v>
      </c>
      <c r="D215" s="12">
        <v>88962685871</v>
      </c>
    </row>
    <row r="216" spans="1:4" x14ac:dyDescent="0.25">
      <c r="A216" s="12" t="s">
        <v>441</v>
      </c>
      <c r="B216" s="12" t="s">
        <v>440</v>
      </c>
      <c r="C216" s="16" t="s">
        <v>675</v>
      </c>
      <c r="D216" s="12">
        <v>88962685888</v>
      </c>
    </row>
    <row r="217" spans="1:4" x14ac:dyDescent="0.25">
      <c r="A217" s="12" t="s">
        <v>443</v>
      </c>
      <c r="B217" s="12" t="s">
        <v>442</v>
      </c>
      <c r="C217" s="16">
        <v>32326</v>
      </c>
      <c r="D217" s="12">
        <v>88962685896</v>
      </c>
    </row>
    <row r="218" spans="1:4" x14ac:dyDescent="0.25">
      <c r="A218" s="12" t="s">
        <v>445</v>
      </c>
      <c r="B218" s="12" t="s">
        <v>444</v>
      </c>
      <c r="C218" s="16" t="s">
        <v>676</v>
      </c>
      <c r="D218" s="12">
        <v>88962686116</v>
      </c>
    </row>
    <row r="219" spans="1:4" x14ac:dyDescent="0.25">
      <c r="A219" s="12">
        <v>32221</v>
      </c>
      <c r="B219" s="12" t="s">
        <v>446</v>
      </c>
      <c r="C219" s="16" t="s">
        <v>677</v>
      </c>
      <c r="D219" s="12">
        <v>88962686017</v>
      </c>
    </row>
    <row r="220" spans="1:4" x14ac:dyDescent="0.25">
      <c r="A220" s="12" t="s">
        <v>448</v>
      </c>
      <c r="B220" s="12" t="s">
        <v>447</v>
      </c>
      <c r="C220" s="16" t="s">
        <v>678</v>
      </c>
      <c r="D220" s="12">
        <v>88962686156</v>
      </c>
    </row>
    <row r="221" spans="1:4" x14ac:dyDescent="0.25">
      <c r="A221" s="12" t="s">
        <v>450</v>
      </c>
      <c r="B221" s="12" t="s">
        <v>449</v>
      </c>
      <c r="C221" s="16" t="s">
        <v>679</v>
      </c>
      <c r="D221" s="12">
        <v>88962685952</v>
      </c>
    </row>
    <row r="222" spans="1:4" x14ac:dyDescent="0.25">
      <c r="A222" s="12" t="s">
        <v>452</v>
      </c>
      <c r="B222" s="12" t="s">
        <v>451</v>
      </c>
      <c r="C222" s="16">
        <v>20319</v>
      </c>
      <c r="D222" s="12">
        <v>88962685862</v>
      </c>
    </row>
    <row r="223" spans="1:4" x14ac:dyDescent="0.25">
      <c r="A223" s="12" t="s">
        <v>454</v>
      </c>
      <c r="B223" s="12" t="s">
        <v>453</v>
      </c>
      <c r="C223" s="16" t="s">
        <v>680</v>
      </c>
      <c r="D223" s="12">
        <v>88962686010</v>
      </c>
    </row>
    <row r="224" spans="1:4" x14ac:dyDescent="0.25">
      <c r="A224" s="12" t="s">
        <v>456</v>
      </c>
      <c r="B224" s="12" t="s">
        <v>455</v>
      </c>
      <c r="C224" s="16" t="s">
        <v>681</v>
      </c>
      <c r="D224" s="12">
        <v>88962685885</v>
      </c>
    </row>
    <row r="225" spans="1:4" x14ac:dyDescent="0.25">
      <c r="A225" s="12" t="s">
        <v>458</v>
      </c>
      <c r="B225" s="12" t="s">
        <v>457</v>
      </c>
      <c r="C225" s="16" t="s">
        <v>682</v>
      </c>
      <c r="D225" s="12">
        <v>88962685900</v>
      </c>
    </row>
    <row r="226" spans="1:4" x14ac:dyDescent="0.25">
      <c r="A226" s="12" t="s">
        <v>460</v>
      </c>
      <c r="B226" s="12" t="s">
        <v>459</v>
      </c>
      <c r="C226" s="16" t="s">
        <v>683</v>
      </c>
      <c r="D226" s="12">
        <v>88962686091</v>
      </c>
    </row>
    <row r="227" spans="1:4" x14ac:dyDescent="0.25">
      <c r="A227" s="12" t="s">
        <v>462</v>
      </c>
      <c r="B227" s="12" t="s">
        <v>461</v>
      </c>
      <c r="C227" s="16" t="s">
        <v>684</v>
      </c>
      <c r="D227" s="12">
        <v>88962685931</v>
      </c>
    </row>
    <row r="228" spans="1:4" x14ac:dyDescent="0.25">
      <c r="A228" s="12" t="s">
        <v>464</v>
      </c>
      <c r="B228" s="12" t="s">
        <v>463</v>
      </c>
      <c r="C228" s="16">
        <v>27323</v>
      </c>
      <c r="D228" s="12">
        <v>88962685882</v>
      </c>
    </row>
    <row r="229" spans="1:4" x14ac:dyDescent="0.25">
      <c r="A229" s="12" t="s">
        <v>466</v>
      </c>
      <c r="B229" s="12" t="s">
        <v>465</v>
      </c>
      <c r="C229" s="16" t="s">
        <v>685</v>
      </c>
      <c r="D229" s="12">
        <v>88962686068</v>
      </c>
    </row>
    <row r="230" spans="1:4" x14ac:dyDescent="0.25">
      <c r="A230" s="12" t="s">
        <v>468</v>
      </c>
      <c r="B230" s="12" t="s">
        <v>467</v>
      </c>
      <c r="C230" s="16" t="s">
        <v>686</v>
      </c>
      <c r="D230" s="12">
        <v>88962689943</v>
      </c>
    </row>
    <row r="231" spans="1:4" x14ac:dyDescent="0.25">
      <c r="A231" s="12">
        <v>4613351</v>
      </c>
      <c r="B231" s="12" t="s">
        <v>469</v>
      </c>
      <c r="C231" s="16" t="s">
        <v>687</v>
      </c>
      <c r="D231" s="12">
        <v>88962685990</v>
      </c>
    </row>
    <row r="232" spans="1:4" x14ac:dyDescent="0.25">
      <c r="A232" s="12" t="s">
        <v>471</v>
      </c>
      <c r="B232" s="12" t="s">
        <v>470</v>
      </c>
      <c r="C232" s="16" t="s">
        <v>688</v>
      </c>
      <c r="D232" s="12">
        <v>88962685993</v>
      </c>
    </row>
    <row r="233" spans="1:4" x14ac:dyDescent="0.25">
      <c r="A233" s="12" t="s">
        <v>473</v>
      </c>
      <c r="B233" s="12" t="s">
        <v>472</v>
      </c>
      <c r="C233" s="16" t="s">
        <v>689</v>
      </c>
      <c r="D233" s="12">
        <v>88962686069</v>
      </c>
    </row>
    <row r="234" spans="1:4" x14ac:dyDescent="0.25">
      <c r="A234" s="13" t="s">
        <v>475</v>
      </c>
      <c r="B234" s="13" t="s">
        <v>474</v>
      </c>
      <c r="C234" s="17" t="s">
        <v>647</v>
      </c>
      <c r="D234" s="13">
        <v>88962686126</v>
      </c>
    </row>
  </sheetData>
  <autoFilter ref="A6:D234" xr:uid="{5FC8184F-7543-4FB9-99EC-7CD4AEACF785}"/>
  <mergeCells count="1">
    <mergeCell ref="B2:C4"/>
  </mergeCells>
  <pageMargins left="0.7" right="0.7" top="0.75" bottom="0.75" header="0.3" footer="0.3"/>
  <pageSetup scale="7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484AF-37A2-476C-87D1-C82DE86AAE4B}">
  <dimension ref="A1:A228"/>
  <sheetViews>
    <sheetView topLeftCell="A226" workbookViewId="0">
      <selection activeCell="D10" sqref="D10"/>
    </sheetView>
  </sheetViews>
  <sheetFormatPr baseColWidth="10" defaultColWidth="11.42578125" defaultRowHeight="15" x14ac:dyDescent="0.25"/>
  <cols>
    <col min="1" max="1" width="16.85546875" bestFit="1" customWidth="1"/>
  </cols>
  <sheetData>
    <row r="1" spans="1:1" x14ac:dyDescent="0.25">
      <c r="A1" s="1" t="s">
        <v>47</v>
      </c>
    </row>
    <row r="2" spans="1:1" x14ac:dyDescent="0.25">
      <c r="A2" s="1" t="s">
        <v>51</v>
      </c>
    </row>
    <row r="3" spans="1:1" x14ac:dyDescent="0.25">
      <c r="A3" s="1" t="s">
        <v>52</v>
      </c>
    </row>
    <row r="4" spans="1:1" x14ac:dyDescent="0.25">
      <c r="A4" s="1" t="s">
        <v>53</v>
      </c>
    </row>
    <row r="5" spans="1:1" x14ac:dyDescent="0.25">
      <c r="A5" s="1" t="s">
        <v>54</v>
      </c>
    </row>
    <row r="6" spans="1:1" x14ac:dyDescent="0.25">
      <c r="A6" s="1" t="s">
        <v>55</v>
      </c>
    </row>
    <row r="7" spans="1:1" x14ac:dyDescent="0.25">
      <c r="A7" s="1" t="s">
        <v>56</v>
      </c>
    </row>
    <row r="8" spans="1:1" x14ac:dyDescent="0.25">
      <c r="A8" s="1" t="s">
        <v>57</v>
      </c>
    </row>
    <row r="9" spans="1:1" x14ac:dyDescent="0.25">
      <c r="A9" s="1" t="s">
        <v>59</v>
      </c>
    </row>
    <row r="10" spans="1:1" x14ac:dyDescent="0.25">
      <c r="A10" s="1" t="s">
        <v>60</v>
      </c>
    </row>
    <row r="11" spans="1:1" x14ac:dyDescent="0.25">
      <c r="A11" s="1" t="s">
        <v>61</v>
      </c>
    </row>
    <row r="12" spans="1:1" x14ac:dyDescent="0.25">
      <c r="A12" s="1" t="s">
        <v>62</v>
      </c>
    </row>
    <row r="13" spans="1:1" x14ac:dyDescent="0.25">
      <c r="A13" s="1" t="s">
        <v>63</v>
      </c>
    </row>
    <row r="14" spans="1:1" x14ac:dyDescent="0.25">
      <c r="A14" s="1" t="s">
        <v>64</v>
      </c>
    </row>
    <row r="15" spans="1:1" x14ac:dyDescent="0.25">
      <c r="A15" s="1" t="s">
        <v>66</v>
      </c>
    </row>
    <row r="16" spans="1:1" x14ac:dyDescent="0.25">
      <c r="A16" s="1" t="s">
        <v>68</v>
      </c>
    </row>
    <row r="17" spans="1:1" x14ac:dyDescent="0.25">
      <c r="A17" s="1" t="s">
        <v>70</v>
      </c>
    </row>
    <row r="18" spans="1:1" x14ac:dyDescent="0.25">
      <c r="A18" s="1" t="s">
        <v>72</v>
      </c>
    </row>
    <row r="19" spans="1:1" x14ac:dyDescent="0.25">
      <c r="A19" s="1" t="s">
        <v>74</v>
      </c>
    </row>
    <row r="20" spans="1:1" x14ac:dyDescent="0.25">
      <c r="A20" s="1" t="s">
        <v>76</v>
      </c>
    </row>
    <row r="21" spans="1:1" x14ac:dyDescent="0.25">
      <c r="A21" s="1" t="s">
        <v>78</v>
      </c>
    </row>
    <row r="22" spans="1:1" x14ac:dyDescent="0.25">
      <c r="A22" s="1" t="s">
        <v>80</v>
      </c>
    </row>
    <row r="23" spans="1:1" x14ac:dyDescent="0.25">
      <c r="A23" s="1" t="s">
        <v>82</v>
      </c>
    </row>
    <row r="24" spans="1:1" x14ac:dyDescent="0.25">
      <c r="A24" s="1" t="s">
        <v>84</v>
      </c>
    </row>
    <row r="25" spans="1:1" x14ac:dyDescent="0.25">
      <c r="A25" s="1" t="s">
        <v>86</v>
      </c>
    </row>
    <row r="26" spans="1:1" x14ac:dyDescent="0.25">
      <c r="A26" s="1" t="s">
        <v>88</v>
      </c>
    </row>
    <row r="27" spans="1:1" x14ac:dyDescent="0.25">
      <c r="A27" s="1" t="s">
        <v>90</v>
      </c>
    </row>
    <row r="28" spans="1:1" x14ac:dyDescent="0.25">
      <c r="A28" s="1" t="s">
        <v>92</v>
      </c>
    </row>
    <row r="29" spans="1:1" x14ac:dyDescent="0.25">
      <c r="A29" s="1" t="s">
        <v>94</v>
      </c>
    </row>
    <row r="30" spans="1:1" x14ac:dyDescent="0.25">
      <c r="A30" s="1" t="s">
        <v>96</v>
      </c>
    </row>
    <row r="31" spans="1:1" x14ac:dyDescent="0.25">
      <c r="A31" s="1" t="s">
        <v>98</v>
      </c>
    </row>
    <row r="32" spans="1:1" x14ac:dyDescent="0.25">
      <c r="A32" s="1" t="s">
        <v>100</v>
      </c>
    </row>
    <row r="33" spans="1:1" x14ac:dyDescent="0.25">
      <c r="A33" s="1" t="s">
        <v>102</v>
      </c>
    </row>
    <row r="34" spans="1:1" x14ac:dyDescent="0.25">
      <c r="A34" s="1" t="s">
        <v>104</v>
      </c>
    </row>
    <row r="35" spans="1:1" x14ac:dyDescent="0.25">
      <c r="A35" s="1" t="s">
        <v>106</v>
      </c>
    </row>
    <row r="36" spans="1:1" x14ac:dyDescent="0.25">
      <c r="A36" s="1" t="s">
        <v>108</v>
      </c>
    </row>
    <row r="37" spans="1:1" x14ac:dyDescent="0.25">
      <c r="A37" s="1" t="s">
        <v>110</v>
      </c>
    </row>
    <row r="38" spans="1:1" x14ac:dyDescent="0.25">
      <c r="A38" s="1" t="s">
        <v>112</v>
      </c>
    </row>
    <row r="39" spans="1:1" x14ac:dyDescent="0.25">
      <c r="A39" s="1" t="s">
        <v>114</v>
      </c>
    </row>
    <row r="40" spans="1:1" x14ac:dyDescent="0.25">
      <c r="A40" s="1" t="s">
        <v>116</v>
      </c>
    </row>
    <row r="41" spans="1:1" x14ac:dyDescent="0.25">
      <c r="A41" s="1" t="s">
        <v>118</v>
      </c>
    </row>
    <row r="42" spans="1:1" x14ac:dyDescent="0.25">
      <c r="A42" s="1" t="s">
        <v>120</v>
      </c>
    </row>
    <row r="43" spans="1:1" x14ac:dyDescent="0.25">
      <c r="A43" s="1" t="s">
        <v>122</v>
      </c>
    </row>
    <row r="44" spans="1:1" x14ac:dyDescent="0.25">
      <c r="A44" s="1" t="s">
        <v>124</v>
      </c>
    </row>
    <row r="45" spans="1:1" x14ac:dyDescent="0.25">
      <c r="A45" s="1" t="s">
        <v>126</v>
      </c>
    </row>
    <row r="46" spans="1:1" x14ac:dyDescent="0.25">
      <c r="A46" s="1" t="s">
        <v>128</v>
      </c>
    </row>
    <row r="47" spans="1:1" x14ac:dyDescent="0.25">
      <c r="A47" s="1" t="s">
        <v>130</v>
      </c>
    </row>
    <row r="48" spans="1:1" x14ac:dyDescent="0.25">
      <c r="A48" s="1" t="s">
        <v>132</v>
      </c>
    </row>
    <row r="49" spans="1:1" x14ac:dyDescent="0.25">
      <c r="A49" s="1" t="s">
        <v>134</v>
      </c>
    </row>
    <row r="50" spans="1:1" x14ac:dyDescent="0.25">
      <c r="A50" s="1" t="s">
        <v>136</v>
      </c>
    </row>
    <row r="51" spans="1:1" x14ac:dyDescent="0.25">
      <c r="A51" s="1" t="s">
        <v>138</v>
      </c>
    </row>
    <row r="52" spans="1:1" x14ac:dyDescent="0.25">
      <c r="A52" s="1" t="s">
        <v>140</v>
      </c>
    </row>
    <row r="53" spans="1:1" x14ac:dyDescent="0.25">
      <c r="A53" s="1" t="s">
        <v>142</v>
      </c>
    </row>
    <row r="54" spans="1:1" x14ac:dyDescent="0.25">
      <c r="A54" s="1" t="s">
        <v>144</v>
      </c>
    </row>
    <row r="55" spans="1:1" x14ac:dyDescent="0.25">
      <c r="A55" s="1" t="s">
        <v>146</v>
      </c>
    </row>
    <row r="56" spans="1:1" x14ac:dyDescent="0.25">
      <c r="A56" s="1" t="s">
        <v>148</v>
      </c>
    </row>
    <row r="57" spans="1:1" x14ac:dyDescent="0.25">
      <c r="A57" s="1" t="s">
        <v>150</v>
      </c>
    </row>
    <row r="58" spans="1:1" x14ac:dyDescent="0.25">
      <c r="A58" s="1" t="s">
        <v>152</v>
      </c>
    </row>
    <row r="59" spans="1:1" x14ac:dyDescent="0.25">
      <c r="A59" s="1" t="s">
        <v>154</v>
      </c>
    </row>
    <row r="60" spans="1:1" x14ac:dyDescent="0.25">
      <c r="A60" s="1" t="s">
        <v>156</v>
      </c>
    </row>
    <row r="61" spans="1:1" x14ac:dyDescent="0.25">
      <c r="A61" s="1" t="s">
        <v>158</v>
      </c>
    </row>
    <row r="62" spans="1:1" x14ac:dyDescent="0.25">
      <c r="A62" s="1" t="s">
        <v>161</v>
      </c>
    </row>
    <row r="63" spans="1:1" x14ac:dyDescent="0.25">
      <c r="A63" s="1" t="s">
        <v>163</v>
      </c>
    </row>
    <row r="64" spans="1:1" x14ac:dyDescent="0.25">
      <c r="A64" s="1" t="s">
        <v>165</v>
      </c>
    </row>
    <row r="65" spans="1:1" x14ac:dyDescent="0.25">
      <c r="A65" s="1" t="s">
        <v>167</v>
      </c>
    </row>
    <row r="66" spans="1:1" x14ac:dyDescent="0.25">
      <c r="A66" s="1" t="s">
        <v>169</v>
      </c>
    </row>
    <row r="67" spans="1:1" x14ac:dyDescent="0.25">
      <c r="A67" s="1" t="s">
        <v>171</v>
      </c>
    </row>
    <row r="68" spans="1:1" x14ac:dyDescent="0.25">
      <c r="A68" s="1" t="s">
        <v>173</v>
      </c>
    </row>
    <row r="69" spans="1:1" x14ac:dyDescent="0.25">
      <c r="A69" s="1" t="s">
        <v>175</v>
      </c>
    </row>
    <row r="70" spans="1:1" x14ac:dyDescent="0.25">
      <c r="A70" s="1" t="s">
        <v>177</v>
      </c>
    </row>
    <row r="71" spans="1:1" x14ac:dyDescent="0.25">
      <c r="A71" s="1" t="s">
        <v>179</v>
      </c>
    </row>
    <row r="72" spans="1:1" x14ac:dyDescent="0.25">
      <c r="A72" s="1" t="s">
        <v>181</v>
      </c>
    </row>
    <row r="73" spans="1:1" x14ac:dyDescent="0.25">
      <c r="A73" s="1" t="s">
        <v>183</v>
      </c>
    </row>
    <row r="74" spans="1:1" x14ac:dyDescent="0.25">
      <c r="A74" s="1" t="s">
        <v>185</v>
      </c>
    </row>
    <row r="75" spans="1:1" x14ac:dyDescent="0.25">
      <c r="A75" s="1" t="s">
        <v>187</v>
      </c>
    </row>
    <row r="76" spans="1:1" x14ac:dyDescent="0.25">
      <c r="A76" s="1" t="s">
        <v>189</v>
      </c>
    </row>
    <row r="77" spans="1:1" x14ac:dyDescent="0.25">
      <c r="A77" s="1" t="s">
        <v>191</v>
      </c>
    </row>
    <row r="78" spans="1:1" x14ac:dyDescent="0.25">
      <c r="A78" s="1" t="s">
        <v>193</v>
      </c>
    </row>
    <row r="79" spans="1:1" x14ac:dyDescent="0.25">
      <c r="A79" s="1" t="s">
        <v>195</v>
      </c>
    </row>
    <row r="80" spans="1:1" x14ac:dyDescent="0.25">
      <c r="A80" s="1" t="s">
        <v>197</v>
      </c>
    </row>
    <row r="81" spans="1:1" x14ac:dyDescent="0.25">
      <c r="A81" s="1" t="s">
        <v>199</v>
      </c>
    </row>
    <row r="82" spans="1:1" x14ac:dyDescent="0.25">
      <c r="A82" s="1" t="s">
        <v>201</v>
      </c>
    </row>
    <row r="83" spans="1:1" x14ac:dyDescent="0.25">
      <c r="A83" s="1" t="s">
        <v>203</v>
      </c>
    </row>
    <row r="84" spans="1:1" x14ac:dyDescent="0.25">
      <c r="A84" s="1" t="s">
        <v>205</v>
      </c>
    </row>
    <row r="85" spans="1:1" x14ac:dyDescent="0.25">
      <c r="A85" s="1" t="s">
        <v>207</v>
      </c>
    </row>
    <row r="86" spans="1:1" x14ac:dyDescent="0.25">
      <c r="A86" s="1" t="s">
        <v>209</v>
      </c>
    </row>
    <row r="87" spans="1:1" x14ac:dyDescent="0.25">
      <c r="A87" s="1" t="s">
        <v>211</v>
      </c>
    </row>
    <row r="88" spans="1:1" x14ac:dyDescent="0.25">
      <c r="A88" s="1" t="s">
        <v>213</v>
      </c>
    </row>
    <row r="89" spans="1:1" x14ac:dyDescent="0.25">
      <c r="A89" s="1" t="s">
        <v>215</v>
      </c>
    </row>
    <row r="90" spans="1:1" x14ac:dyDescent="0.25">
      <c r="A90" s="1" t="s">
        <v>217</v>
      </c>
    </row>
    <row r="91" spans="1:1" x14ac:dyDescent="0.25">
      <c r="A91" s="1" t="s">
        <v>219</v>
      </c>
    </row>
    <row r="92" spans="1:1" x14ac:dyDescent="0.25">
      <c r="A92" s="1" t="s">
        <v>222</v>
      </c>
    </row>
    <row r="93" spans="1:1" x14ac:dyDescent="0.25">
      <c r="A93" s="1" t="s">
        <v>224</v>
      </c>
    </row>
    <row r="94" spans="1:1" x14ac:dyDescent="0.25">
      <c r="A94" s="1" t="s">
        <v>226</v>
      </c>
    </row>
    <row r="95" spans="1:1" x14ac:dyDescent="0.25">
      <c r="A95" s="1" t="s">
        <v>228</v>
      </c>
    </row>
    <row r="96" spans="1:1" x14ac:dyDescent="0.25">
      <c r="A96" s="1" t="s">
        <v>230</v>
      </c>
    </row>
    <row r="97" spans="1:1" x14ac:dyDescent="0.25">
      <c r="A97" s="1" t="s">
        <v>232</v>
      </c>
    </row>
    <row r="98" spans="1:1" x14ac:dyDescent="0.25">
      <c r="A98" s="1" t="s">
        <v>234</v>
      </c>
    </row>
    <row r="99" spans="1:1" x14ac:dyDescent="0.25">
      <c r="A99" s="1" t="s">
        <v>236</v>
      </c>
    </row>
    <row r="100" spans="1:1" x14ac:dyDescent="0.25">
      <c r="A100" s="1" t="s">
        <v>238</v>
      </c>
    </row>
    <row r="101" spans="1:1" x14ac:dyDescent="0.25">
      <c r="A101" s="1" t="s">
        <v>240</v>
      </c>
    </row>
    <row r="102" spans="1:1" x14ac:dyDescent="0.25">
      <c r="A102" s="1" t="s">
        <v>242</v>
      </c>
    </row>
    <row r="103" spans="1:1" x14ac:dyDescent="0.25">
      <c r="A103" s="1" t="s">
        <v>244</v>
      </c>
    </row>
    <row r="104" spans="1:1" x14ac:dyDescent="0.25">
      <c r="A104" s="1" t="s">
        <v>246</v>
      </c>
    </row>
    <row r="105" spans="1:1" x14ac:dyDescent="0.25">
      <c r="A105" s="1" t="s">
        <v>248</v>
      </c>
    </row>
    <row r="106" spans="1:1" x14ac:dyDescent="0.25">
      <c r="A106" s="1" t="s">
        <v>250</v>
      </c>
    </row>
    <row r="107" spans="1:1" x14ac:dyDescent="0.25">
      <c r="A107" s="1" t="s">
        <v>252</v>
      </c>
    </row>
    <row r="108" spans="1:1" x14ac:dyDescent="0.25">
      <c r="A108" s="1" t="s">
        <v>254</v>
      </c>
    </row>
    <row r="109" spans="1:1" x14ac:dyDescent="0.25">
      <c r="A109" s="1" t="s">
        <v>256</v>
      </c>
    </row>
    <row r="110" spans="1:1" x14ac:dyDescent="0.25">
      <c r="A110" s="1" t="s">
        <v>258</v>
      </c>
    </row>
    <row r="111" spans="1:1" x14ac:dyDescent="0.25">
      <c r="A111" s="1" t="s">
        <v>260</v>
      </c>
    </row>
    <row r="112" spans="1:1" x14ac:dyDescent="0.25">
      <c r="A112" s="1" t="s">
        <v>262</v>
      </c>
    </row>
    <row r="113" spans="1:1" x14ac:dyDescent="0.25">
      <c r="A113" s="1" t="s">
        <v>264</v>
      </c>
    </row>
    <row r="114" spans="1:1" x14ac:dyDescent="0.25">
      <c r="A114" s="1" t="s">
        <v>266</v>
      </c>
    </row>
    <row r="115" spans="1:1" x14ac:dyDescent="0.25">
      <c r="A115" s="1" t="s">
        <v>268</v>
      </c>
    </row>
    <row r="116" spans="1:1" x14ac:dyDescent="0.25">
      <c r="A116" s="1" t="s">
        <v>270</v>
      </c>
    </row>
    <row r="117" spans="1:1" x14ac:dyDescent="0.25">
      <c r="A117" s="1" t="s">
        <v>272</v>
      </c>
    </row>
    <row r="118" spans="1:1" x14ac:dyDescent="0.25">
      <c r="A118" s="1" t="s">
        <v>274</v>
      </c>
    </row>
    <row r="119" spans="1:1" x14ac:dyDescent="0.25">
      <c r="A119" s="1" t="s">
        <v>276</v>
      </c>
    </row>
    <row r="120" spans="1:1" x14ac:dyDescent="0.25">
      <c r="A120" s="1" t="s">
        <v>278</v>
      </c>
    </row>
    <row r="121" spans="1:1" x14ac:dyDescent="0.25">
      <c r="A121" s="1" t="s">
        <v>279</v>
      </c>
    </row>
    <row r="122" spans="1:1" x14ac:dyDescent="0.25">
      <c r="A122" s="1" t="s">
        <v>280</v>
      </c>
    </row>
    <row r="123" spans="1:1" x14ac:dyDescent="0.25">
      <c r="A123" s="1" t="s">
        <v>282</v>
      </c>
    </row>
    <row r="124" spans="1:1" x14ac:dyDescent="0.25">
      <c r="A124" s="1" t="s">
        <v>283</v>
      </c>
    </row>
    <row r="125" spans="1:1" x14ac:dyDescent="0.25">
      <c r="A125" s="1" t="s">
        <v>284</v>
      </c>
    </row>
    <row r="126" spans="1:1" x14ac:dyDescent="0.25">
      <c r="A126" s="1" t="s">
        <v>286</v>
      </c>
    </row>
    <row r="127" spans="1:1" x14ac:dyDescent="0.25">
      <c r="A127" s="1" t="s">
        <v>288</v>
      </c>
    </row>
    <row r="128" spans="1:1" x14ac:dyDescent="0.25">
      <c r="A128" s="1" t="s">
        <v>290</v>
      </c>
    </row>
    <row r="129" spans="1:1" x14ac:dyDescent="0.25">
      <c r="A129" s="1" t="s">
        <v>291</v>
      </c>
    </row>
    <row r="130" spans="1:1" x14ac:dyDescent="0.25">
      <c r="A130" s="1" t="s">
        <v>293</v>
      </c>
    </row>
    <row r="131" spans="1:1" x14ac:dyDescent="0.25">
      <c r="A131" s="1" t="s">
        <v>295</v>
      </c>
    </row>
    <row r="132" spans="1:1" x14ac:dyDescent="0.25">
      <c r="A132" s="1" t="s">
        <v>297</v>
      </c>
    </row>
    <row r="133" spans="1:1" x14ac:dyDescent="0.25">
      <c r="A133" s="1" t="s">
        <v>299</v>
      </c>
    </row>
    <row r="134" spans="1:1" x14ac:dyDescent="0.25">
      <c r="A134" s="1" t="s">
        <v>301</v>
      </c>
    </row>
    <row r="135" spans="1:1" x14ac:dyDescent="0.25">
      <c r="A135" s="1" t="s">
        <v>303</v>
      </c>
    </row>
    <row r="136" spans="1:1" x14ac:dyDescent="0.25">
      <c r="A136" s="1" t="s">
        <v>305</v>
      </c>
    </row>
    <row r="137" spans="1:1" x14ac:dyDescent="0.25">
      <c r="A137" s="1" t="s">
        <v>307</v>
      </c>
    </row>
    <row r="138" spans="1:1" x14ac:dyDescent="0.25">
      <c r="A138" s="1" t="s">
        <v>309</v>
      </c>
    </row>
    <row r="139" spans="1:1" x14ac:dyDescent="0.25">
      <c r="A139" s="1" t="s">
        <v>311</v>
      </c>
    </row>
    <row r="140" spans="1:1" x14ac:dyDescent="0.25">
      <c r="A140" s="1" t="s">
        <v>313</v>
      </c>
    </row>
    <row r="141" spans="1:1" x14ac:dyDescent="0.25">
      <c r="A141" s="1" t="s">
        <v>315</v>
      </c>
    </row>
    <row r="142" spans="1:1" x14ac:dyDescent="0.25">
      <c r="A142" s="1" t="s">
        <v>317</v>
      </c>
    </row>
    <row r="143" spans="1:1" x14ac:dyDescent="0.25">
      <c r="A143" s="1" t="s">
        <v>319</v>
      </c>
    </row>
    <row r="144" spans="1:1" x14ac:dyDescent="0.25">
      <c r="A144" s="1" t="s">
        <v>321</v>
      </c>
    </row>
    <row r="145" spans="1:1" x14ac:dyDescent="0.25">
      <c r="A145" s="1" t="s">
        <v>323</v>
      </c>
    </row>
    <row r="146" spans="1:1" x14ac:dyDescent="0.25">
      <c r="A146" s="1" t="s">
        <v>325</v>
      </c>
    </row>
    <row r="147" spans="1:1" x14ac:dyDescent="0.25">
      <c r="A147" s="1" t="s">
        <v>327</v>
      </c>
    </row>
    <row r="148" spans="1:1" x14ac:dyDescent="0.25">
      <c r="A148" s="1" t="s">
        <v>329</v>
      </c>
    </row>
    <row r="149" spans="1:1" x14ac:dyDescent="0.25">
      <c r="A149" s="1" t="s">
        <v>331</v>
      </c>
    </row>
    <row r="150" spans="1:1" x14ac:dyDescent="0.25">
      <c r="A150" s="1" t="s">
        <v>333</v>
      </c>
    </row>
    <row r="151" spans="1:1" x14ac:dyDescent="0.25">
      <c r="A151" s="1" t="s">
        <v>335</v>
      </c>
    </row>
    <row r="152" spans="1:1" x14ac:dyDescent="0.25">
      <c r="A152" s="1" t="s">
        <v>337</v>
      </c>
    </row>
    <row r="153" spans="1:1" x14ac:dyDescent="0.25">
      <c r="A153" s="1" t="s">
        <v>339</v>
      </c>
    </row>
    <row r="154" spans="1:1" x14ac:dyDescent="0.25">
      <c r="A154" s="1" t="s">
        <v>340</v>
      </c>
    </row>
    <row r="155" spans="1:1" x14ac:dyDescent="0.25">
      <c r="A155" s="1" t="s">
        <v>342</v>
      </c>
    </row>
    <row r="156" spans="1:1" x14ac:dyDescent="0.25">
      <c r="A156" s="1" t="s">
        <v>343</v>
      </c>
    </row>
    <row r="157" spans="1:1" x14ac:dyDescent="0.25">
      <c r="A157" s="1" t="s">
        <v>345</v>
      </c>
    </row>
    <row r="158" spans="1:1" x14ac:dyDescent="0.25">
      <c r="A158" s="1" t="s">
        <v>347</v>
      </c>
    </row>
    <row r="159" spans="1:1" x14ac:dyDescent="0.25">
      <c r="A159" s="1" t="s">
        <v>349</v>
      </c>
    </row>
    <row r="160" spans="1:1" x14ac:dyDescent="0.25">
      <c r="A160" s="1" t="s">
        <v>350</v>
      </c>
    </row>
    <row r="161" spans="1:1" x14ac:dyDescent="0.25">
      <c r="A161" s="1" t="s">
        <v>352</v>
      </c>
    </row>
    <row r="162" spans="1:1" x14ac:dyDescent="0.25">
      <c r="A162" s="1" t="s">
        <v>354</v>
      </c>
    </row>
    <row r="163" spans="1:1" x14ac:dyDescent="0.25">
      <c r="A163" s="1" t="s">
        <v>356</v>
      </c>
    </row>
    <row r="164" spans="1:1" x14ac:dyDescent="0.25">
      <c r="A164" s="1" t="s">
        <v>358</v>
      </c>
    </row>
    <row r="165" spans="1:1" x14ac:dyDescent="0.25">
      <c r="A165" s="1" t="s">
        <v>360</v>
      </c>
    </row>
    <row r="166" spans="1:1" x14ac:dyDescent="0.25">
      <c r="A166" s="1" t="s">
        <v>361</v>
      </c>
    </row>
    <row r="167" spans="1:1" x14ac:dyDescent="0.25">
      <c r="A167" s="1" t="s">
        <v>363</v>
      </c>
    </row>
    <row r="168" spans="1:1" x14ac:dyDescent="0.25">
      <c r="A168" s="1" t="s">
        <v>365</v>
      </c>
    </row>
    <row r="169" spans="1:1" x14ac:dyDescent="0.25">
      <c r="A169" s="1" t="s">
        <v>367</v>
      </c>
    </row>
    <row r="170" spans="1:1" x14ac:dyDescent="0.25">
      <c r="A170" s="1" t="s">
        <v>368</v>
      </c>
    </row>
    <row r="171" spans="1:1" x14ac:dyDescent="0.25">
      <c r="A171" s="1" t="s">
        <v>370</v>
      </c>
    </row>
    <row r="172" spans="1:1" x14ac:dyDescent="0.25">
      <c r="A172" s="1" t="s">
        <v>372</v>
      </c>
    </row>
    <row r="173" spans="1:1" x14ac:dyDescent="0.25">
      <c r="A173" s="1" t="s">
        <v>374</v>
      </c>
    </row>
    <row r="174" spans="1:1" x14ac:dyDescent="0.25">
      <c r="A174" s="1" t="s">
        <v>376</v>
      </c>
    </row>
    <row r="175" spans="1:1" x14ac:dyDescent="0.25">
      <c r="A175" s="1" t="s">
        <v>378</v>
      </c>
    </row>
    <row r="176" spans="1:1" x14ac:dyDescent="0.25">
      <c r="A176" s="1" t="s">
        <v>379</v>
      </c>
    </row>
    <row r="177" spans="1:1" x14ac:dyDescent="0.25">
      <c r="A177" s="1" t="s">
        <v>381</v>
      </c>
    </row>
    <row r="178" spans="1:1" x14ac:dyDescent="0.25">
      <c r="A178" s="1" t="s">
        <v>383</v>
      </c>
    </row>
    <row r="179" spans="1:1" x14ac:dyDescent="0.25">
      <c r="A179" s="1" t="s">
        <v>384</v>
      </c>
    </row>
    <row r="180" spans="1:1" x14ac:dyDescent="0.25">
      <c r="A180" s="1" t="s">
        <v>386</v>
      </c>
    </row>
    <row r="181" spans="1:1" x14ac:dyDescent="0.25">
      <c r="A181" s="1" t="s">
        <v>387</v>
      </c>
    </row>
    <row r="182" spans="1:1" x14ac:dyDescent="0.25">
      <c r="A182" s="1" t="s">
        <v>389</v>
      </c>
    </row>
    <row r="183" spans="1:1" x14ac:dyDescent="0.25">
      <c r="A183" s="1" t="s">
        <v>391</v>
      </c>
    </row>
    <row r="184" spans="1:1" x14ac:dyDescent="0.25">
      <c r="A184" s="1" t="s">
        <v>392</v>
      </c>
    </row>
    <row r="185" spans="1:1" x14ac:dyDescent="0.25">
      <c r="A185" s="1" t="s">
        <v>394</v>
      </c>
    </row>
    <row r="186" spans="1:1" x14ac:dyDescent="0.25">
      <c r="A186" s="1" t="s">
        <v>396</v>
      </c>
    </row>
    <row r="187" spans="1:1" x14ac:dyDescent="0.25">
      <c r="A187" s="1" t="s">
        <v>398</v>
      </c>
    </row>
    <row r="188" spans="1:1" x14ac:dyDescent="0.25">
      <c r="A188" s="1" t="s">
        <v>399</v>
      </c>
    </row>
    <row r="189" spans="1:1" x14ac:dyDescent="0.25">
      <c r="A189" s="1" t="s">
        <v>400</v>
      </c>
    </row>
    <row r="190" spans="1:1" x14ac:dyDescent="0.25">
      <c r="A190" s="1" t="s">
        <v>402</v>
      </c>
    </row>
    <row r="191" spans="1:1" x14ac:dyDescent="0.25">
      <c r="A191" s="1" t="s">
        <v>403</v>
      </c>
    </row>
    <row r="192" spans="1:1" x14ac:dyDescent="0.25">
      <c r="A192" s="1" t="s">
        <v>405</v>
      </c>
    </row>
    <row r="193" spans="1:1" x14ac:dyDescent="0.25">
      <c r="A193" s="1" t="s">
        <v>407</v>
      </c>
    </row>
    <row r="194" spans="1:1" x14ac:dyDescent="0.25">
      <c r="A194" s="1" t="s">
        <v>409</v>
      </c>
    </row>
    <row r="195" spans="1:1" x14ac:dyDescent="0.25">
      <c r="A195" s="1" t="s">
        <v>411</v>
      </c>
    </row>
    <row r="196" spans="1:1" x14ac:dyDescent="0.25">
      <c r="A196" s="1" t="s">
        <v>413</v>
      </c>
    </row>
    <row r="197" spans="1:1" x14ac:dyDescent="0.25">
      <c r="A197" s="1" t="s">
        <v>415</v>
      </c>
    </row>
    <row r="198" spans="1:1" x14ac:dyDescent="0.25">
      <c r="A198" s="1" t="s">
        <v>417</v>
      </c>
    </row>
    <row r="199" spans="1:1" x14ac:dyDescent="0.25">
      <c r="A199" s="1" t="s">
        <v>419</v>
      </c>
    </row>
    <row r="200" spans="1:1" x14ac:dyDescent="0.25">
      <c r="A200" s="1" t="s">
        <v>421</v>
      </c>
    </row>
    <row r="201" spans="1:1" x14ac:dyDescent="0.25">
      <c r="A201" s="1" t="s">
        <v>423</v>
      </c>
    </row>
    <row r="202" spans="1:1" x14ac:dyDescent="0.25">
      <c r="A202" s="1" t="s">
        <v>425</v>
      </c>
    </row>
    <row r="203" spans="1:1" x14ac:dyDescent="0.25">
      <c r="A203" s="1" t="s">
        <v>427</v>
      </c>
    </row>
    <row r="204" spans="1:1" x14ac:dyDescent="0.25">
      <c r="A204" s="1" t="s">
        <v>429</v>
      </c>
    </row>
    <row r="205" spans="1:1" x14ac:dyDescent="0.25">
      <c r="A205" s="1" t="s">
        <v>431</v>
      </c>
    </row>
    <row r="206" spans="1:1" x14ac:dyDescent="0.25">
      <c r="A206" s="1" t="s">
        <v>433</v>
      </c>
    </row>
    <row r="207" spans="1:1" x14ac:dyDescent="0.25">
      <c r="A207" s="1" t="s">
        <v>435</v>
      </c>
    </row>
    <row r="208" spans="1:1" x14ac:dyDescent="0.25">
      <c r="A208" s="1" t="s">
        <v>436</v>
      </c>
    </row>
    <row r="209" spans="1:1" x14ac:dyDescent="0.25">
      <c r="A209" s="1" t="s">
        <v>438</v>
      </c>
    </row>
    <row r="210" spans="1:1" x14ac:dyDescent="0.25">
      <c r="A210" s="1" t="s">
        <v>440</v>
      </c>
    </row>
    <row r="211" spans="1:1" x14ac:dyDescent="0.25">
      <c r="A211" s="1" t="s">
        <v>442</v>
      </c>
    </row>
    <row r="212" spans="1:1" x14ac:dyDescent="0.25">
      <c r="A212" s="1" t="s">
        <v>444</v>
      </c>
    </row>
    <row r="213" spans="1:1" x14ac:dyDescent="0.25">
      <c r="A213" s="1" t="s">
        <v>446</v>
      </c>
    </row>
    <row r="214" spans="1:1" x14ac:dyDescent="0.25">
      <c r="A214" s="1" t="s">
        <v>447</v>
      </c>
    </row>
    <row r="215" spans="1:1" x14ac:dyDescent="0.25">
      <c r="A215" s="1" t="s">
        <v>449</v>
      </c>
    </row>
    <row r="216" spans="1:1" x14ac:dyDescent="0.25">
      <c r="A216" s="1" t="s">
        <v>451</v>
      </c>
    </row>
    <row r="217" spans="1:1" x14ac:dyDescent="0.25">
      <c r="A217" s="1" t="s">
        <v>453</v>
      </c>
    </row>
    <row r="218" spans="1:1" x14ac:dyDescent="0.25">
      <c r="A218" s="1" t="s">
        <v>455</v>
      </c>
    </row>
    <row r="219" spans="1:1" x14ac:dyDescent="0.25">
      <c r="A219" s="1" t="s">
        <v>457</v>
      </c>
    </row>
    <row r="220" spans="1:1" x14ac:dyDescent="0.25">
      <c r="A220" s="1" t="s">
        <v>459</v>
      </c>
    </row>
    <row r="221" spans="1:1" x14ac:dyDescent="0.25">
      <c r="A221" s="1" t="s">
        <v>461</v>
      </c>
    </row>
    <row r="222" spans="1:1" x14ac:dyDescent="0.25">
      <c r="A222" s="1" t="s">
        <v>463</v>
      </c>
    </row>
    <row r="223" spans="1:1" x14ac:dyDescent="0.25">
      <c r="A223" s="1" t="s">
        <v>465</v>
      </c>
    </row>
    <row r="224" spans="1:1" x14ac:dyDescent="0.25">
      <c r="A224" s="1" t="s">
        <v>467</v>
      </c>
    </row>
    <row r="225" spans="1:1" x14ac:dyDescent="0.25">
      <c r="A225" s="1" t="s">
        <v>469</v>
      </c>
    </row>
    <row r="226" spans="1:1" x14ac:dyDescent="0.25">
      <c r="A226" s="1" t="s">
        <v>470</v>
      </c>
    </row>
    <row r="227" spans="1:1" x14ac:dyDescent="0.25">
      <c r="A227" s="1" t="s">
        <v>472</v>
      </c>
    </row>
    <row r="228" spans="1:1" x14ac:dyDescent="0.25">
      <c r="A228" s="1" t="s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Master</vt:lpstr>
      <vt:lpstr>Hoja1</vt:lpstr>
      <vt:lpstr>Ayuda visual Rotulos</vt:lpstr>
      <vt:lpstr>Activar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Bretón Karen</dc:creator>
  <cp:keywords/>
  <dc:description/>
  <cp:lastModifiedBy>Auxiliar Diseño</cp:lastModifiedBy>
  <cp:revision/>
  <dcterms:created xsi:type="dcterms:W3CDTF">2024-05-09T16:39:19Z</dcterms:created>
  <dcterms:modified xsi:type="dcterms:W3CDTF">2026-06-03T17:09:06Z</dcterms:modified>
  <cp:category/>
  <cp:contentStatus/>
</cp:coreProperties>
</file>